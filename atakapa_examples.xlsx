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akapa_Parsed_Corpus" sheetId="1" state="visible" r:id="rId2"/>
    <sheet name="Sheet1" sheetId="2" state="visible" r:id="rId3"/>
  </sheets>
  <definedNames>
    <definedName function="false" hidden="false" localSheetId="0" name="ExternalData_1" vbProcedure="false">Atakapa_Parsed_Corpus!$A$1:$K$421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<sst xmlns="http://schemas.openxmlformats.org/spreadsheetml/2006/main" count="2586" uniqueCount="2376">
  <si>
    <t xml:space="preserve">Example_Number</t>
  </si>
  <si>
    <t xml:space="preserve">Gatschet&amp;Swanton</t>
  </si>
  <si>
    <t xml:space="preserve">Modern_Ortho</t>
  </si>
  <si>
    <t xml:space="preserve">Gloss.1</t>
  </si>
  <si>
    <t xml:space="preserve">Gloss.2</t>
  </si>
  <si>
    <t xml:space="preserve">Gloss.3</t>
  </si>
  <si>
    <t xml:space="preserve">Gloss.4</t>
  </si>
  <si>
    <t xml:space="preserve">Gloss.5</t>
  </si>
  <si>
    <t xml:space="preserve">Gloss.6</t>
  </si>
  <si>
    <t xml:space="preserve">Translation</t>
  </si>
  <si>
    <t xml:space="preserve">Raw_Block</t>
  </si>
  <si>
    <t xml:space="preserve">[icak taˊ-ic oˊkiăn yukitnē mon ialpeˊhiulĕt]</t>
  </si>
  <si>
    <t xml:space="preserve">iša·k táyš ókya yukit né· mo·n yálpéhiulat</t>
  </si>
  <si>
    <r>
      <rPr>
        <sz val="11"/>
        <color rgb="FF000000"/>
        <rFont val="Aptos Narrow"/>
        <family val="2"/>
        <charset val="1"/>
      </rPr>
      <t xml:space="preserve">iša·k     </t>
    </r>
    <r>
      <rPr>
        <sz val="11"/>
        <color rgb="FF000000"/>
        <rFont val="Aptos Narrow"/>
        <family val="2"/>
      </rPr>
      <t xml:space="preserve">táyš</t>
    </r>
    <r>
      <rPr>
        <sz val="11"/>
        <color rgb="FF000000"/>
        <rFont val="Aptos Narrow"/>
        <family val="2"/>
        <charset val="1"/>
      </rPr>
      <t xml:space="preserve">      ok=ya     yukit n</t>
    </r>
    <r>
      <rPr>
        <sz val="11"/>
        <color rgb="FF000000"/>
        <rFont val="Aptos Narrow"/>
        <family val="2"/>
      </rPr>
      <t xml:space="preserve">é</t>
    </r>
    <r>
      <rPr>
        <sz val="11"/>
        <color rgb="FF000000"/>
        <rFont val="Aptos Narrow"/>
        <family val="2"/>
        <charset val="1"/>
      </rPr>
      <t xml:space="preserve">· mo·n</t>
    </r>
  </si>
  <si>
    <t xml:space="preserve">person    strange   come=and  our  land all</t>
  </si>
  <si>
    <t xml:space="preserve">yál-péh-i-ul-at</t>
  </si>
  <si>
    <t xml:space="preserve">take-finish-CAUS-3PLS-PRET</t>
  </si>
  <si>
    <t xml:space="preserve">‘Strange people have come and completely taken all of our land.’ (1932:88:1)</t>
  </si>
  <si>
    <t xml:space="preserve">[icak taˊ-ic oˊkiăn yukitnē mon ialpeˊhiulĕt]                        
          1)   iša·k táyš ókya yukit né· mo·n yálpéhiulat                           
               iša·k     tayš      ok=ya     yukit ne· mo·n                         
               person    strange   come=and  our  land all                          
               yal-peh-i-ul-at                                                      
               take-finish-CAUS-3PLS-PRET                                           
               ‘Strange people have come and completely taken all of our land.’ (1932:88:1)</t>
  </si>
  <si>
    <t xml:space="preserve">[uctiˊkit]</t>
  </si>
  <si>
    <r>
      <rPr>
        <sz val="11"/>
        <color rgb="FF000000"/>
        <rFont val="Aptos Narrow"/>
        <family val="2"/>
      </rPr>
      <t xml:space="preserve">ù</t>
    </r>
    <r>
      <rPr>
        <sz val="11"/>
        <color rgb="FF000000"/>
        <rFont val="Aptos Narrow"/>
        <family val="2"/>
        <charset val="1"/>
      </rPr>
      <t xml:space="preserve">štikit</t>
    </r>
  </si>
  <si>
    <r>
      <rPr>
        <sz val="11"/>
        <color rgb="FF000000"/>
        <rFont val="Aptos Narrow"/>
        <family val="2"/>
        <charset val="1"/>
      </rPr>
      <t xml:space="preserve">Ø-</t>
    </r>
    <r>
      <rPr>
        <sz val="11"/>
        <color rgb="FF000000"/>
        <rFont val="Aptos Narrow"/>
        <family val="2"/>
      </rPr>
      <t xml:space="preserve">ù</t>
    </r>
    <r>
      <rPr>
        <sz val="11"/>
        <color rgb="FF000000"/>
        <rFont val="Aptos Narrow"/>
        <family val="2"/>
        <charset val="1"/>
      </rPr>
      <t xml:space="preserve">š-tikit</t>
    </r>
  </si>
  <si>
    <t xml:space="preserve">3STATS-be.so-FUT</t>
  </si>
  <si>
    <t xml:space="preserve">‘It will be so.’ (1932:139:2)</t>
  </si>
  <si>
    <t xml:space="preserve">[uctiˊkit]                                                           
          2)   ùštikit                                                              
               ø-uš-tikit                                                           
               3STATS-be.so-FUT                                                     
               ‘It will be so.’ (1932:139:2)</t>
  </si>
  <si>
    <t xml:space="preserve">[hikuˊ wi nuˊk tik iˊka koˊ]</t>
  </si>
  <si>
    <t xml:space="preserve">hikú wi núk tikhikàkóh</t>
  </si>
  <si>
    <t xml:space="preserve">hiku wi   nuk  tik-hi-ka-koh</t>
  </si>
  <si>
    <t xml:space="preserve">soup I    self go.and-1SSTATS-make-DESID</t>
  </si>
  <si>
    <t xml:space="preserve">‘I myself want to go and make soup.’ (1932:41:1)</t>
  </si>
  <si>
    <t xml:space="preserve">[hikuˊ wi nuˊk tik iˊka koˊ]                                         
          3)   hikú wi núk tikhikàkóh                                               
               hiku wi   nuk  tik-hi-ka-koh                                         
               soup I    self go.and-1SSTATS-make-DESID                             
               ‘I myself want to go and make soup.’ (1932:41:1)</t>
  </si>
  <si>
    <t xml:space="preserve">[na ˊ-ic ĕncoˊkoi]</t>
  </si>
  <si>
    <t xml:space="preserve">náiš n̥šokòy</t>
  </si>
  <si>
    <t xml:space="preserve">na-iš     n̥-šokòy</t>
  </si>
  <si>
    <t xml:space="preserve">you(sg)-FOC 2STATS-be.chief</t>
  </si>
  <si>
    <t xml:space="preserve">‘You are a chief.’ (1932:83:1)</t>
  </si>
  <si>
    <t xml:space="preserve">[na ˊ-ic ĕncoˊkoi]                                                   
          4)   náiš n̥šokòy                                                         
               na-iš     n̥-šokòy                                                   
               you(sg)-FOC 2STATS-be.chief                                          
               ‘You are a chief.’ (1932:83:1)</t>
  </si>
  <si>
    <t xml:space="preserve">há·š šokòy</t>
  </si>
  <si>
    <t xml:space="preserve">ha-iš     ø-šokòy</t>
  </si>
  <si>
    <t xml:space="preserve">he-foc    3STATS-be.chief</t>
  </si>
  <si>
    <t xml:space="preserve">‘He is a chief.’ (1932:69:1)</t>
  </si>
  <si>
    <t xml:space="preserve">5)   há·š šokòy                                                           
               ha-iš     ø-šokòy                                                    
               he-foc    3STATS-be.chief                                            
               ‘He is a chief.’ (1932:69:1)</t>
  </si>
  <si>
    <t xml:space="preserve">[hikīˊke iˊcak]</t>
  </si>
  <si>
    <t xml:space="preserve">hikí·ke išà·k</t>
  </si>
  <si>
    <t xml:space="preserve">hiki-ike  ø-išà·k</t>
  </si>
  <si>
    <t xml:space="preserve">west-EL   3STATS-be.person</t>
  </si>
  <si>
    <t xml:space="preserve">‘He is a man from the west.’ (1932:40:2)</t>
  </si>
  <si>
    <t xml:space="preserve">[hikīˊke iˊcak]                                                      
          6)   hikí·ke išà·k                                                        
               hiki-ike  ø-išà·k                                                    
               west-EL   3STATS-be.person                                           
               ‘He is a man from the west.’ (1932:40:2)</t>
  </si>
  <si>
    <t xml:space="preserve">[Taˊkapo kic yukiˊti nuˊnkin kēˊt’ntat]</t>
  </si>
  <si>
    <t xml:space="preserve">tákapa kìš yukhíti núŋkin ké·tn̥ tat</t>
  </si>
  <si>
    <t xml:space="preserve">takapa    ø-kìš          yukhiti   nuŋ-kin   ke·t-n̥ ta-t</t>
  </si>
  <si>
    <t xml:space="preserve">Atakapa   3STATS-be.woman Indian   village-LOC dwell-CONTIN-PRET</t>
  </si>
  <si>
    <t xml:space="preserve">‘She was an Atakapa woman, and she used to live in an Indian village.’ (1932:14:70-1)</t>
  </si>
  <si>
    <t xml:space="preserve">[Taˊkapo kic yukiˊti nuˊnkin kēˊt’ntat]                              
          7)   tákapa kìš yukhíti núŋkin ké·tn̥ tat                                 
               takapa    ø-kìš          yukhiti   nuŋ-kin   ke·t-n̥ ta-t            
               Atakapa   3STATS-be.woman Indian   village-LOC dwell-CONTIN-PRET     
               ‘She was an Atakapa woman, and she used to live in an Indian village.’ (1932:14:70-1)</t>
  </si>
  <si>
    <t xml:space="preserve">[viˊvulat]</t>
  </si>
  <si>
    <t xml:space="preserve">wíwulat</t>
  </si>
  <si>
    <t xml:space="preserve">wíw-ul-at</t>
  </si>
  <si>
    <t xml:space="preserve">believe-3PLS-PRET</t>
  </si>
  <si>
    <t xml:space="preserve">‘They believed it.’ (1932:18:121)</t>
  </si>
  <si>
    <t xml:space="preserve">[viˊvulat]                                                           
          8)   wíwulat                                                              
               wíw-ul-at                                                            
               believe-3PLS-PRET                                                    
               ‘They believed it.’ (1932:18:121)</t>
  </si>
  <si>
    <t xml:space="preserve">[ok-inaˊtsûlat]</t>
  </si>
  <si>
    <t xml:space="preserve">hokináculat</t>
  </si>
  <si>
    <t xml:space="preserve">hok-inác-ul-at</t>
  </si>
  <si>
    <t xml:space="preserve">RECIP-fight-3PLS-PRET</t>
  </si>
  <si>
    <t xml:space="preserve">‘They fought each other.’ (1932:20:144)</t>
  </si>
  <si>
    <t xml:space="preserve">[ok-inaˊtsûlat]                                                      
          9)   hokináculat                                                          
               hok-inác-ul-at                                                       
               RECIP-fight-3PLS-PRET                                                
               ‘They fought each other.’ (1932:20:144)</t>
  </si>
  <si>
    <t xml:space="preserve">[laˊwi-ulat]</t>
  </si>
  <si>
    <t xml:space="preserve">láwiulat</t>
  </si>
  <si>
    <t xml:space="preserve">láw-i-ul-at</t>
  </si>
  <si>
    <t xml:space="preserve">burn-CAUS-3PLS-PRET</t>
  </si>
  <si>
    <t xml:space="preserve">‘They burned it.’ (1932:19:138)</t>
  </si>
  <si>
    <t xml:space="preserve">[laˊwi-ulat]                                                         
          10)  láwiulat                                                             
               láw-i-ul-at                                                          
               burn-CAUS-3PLS-PRET                                                  
               ‘They burned it.’ (1932:19:138)</t>
  </si>
  <si>
    <t xml:space="preserve">[wineˊ-ulat]</t>
  </si>
  <si>
    <t xml:space="preserve">winéulat</t>
  </si>
  <si>
    <t xml:space="preserve">winé-ul-at</t>
  </si>
  <si>
    <t xml:space="preserve">find-3PLS-PRET</t>
  </si>
  <si>
    <t xml:space="preserve">‘They found her.’ (1932:10:29)</t>
  </si>
  <si>
    <t xml:space="preserve">[wineˊ-ulat]                                                         
          11)  winéulat                                                             
               winé-ul-at                                                           
               find-3PLS-PRET                                                       
               ‘They found her.’ (1932:10:29)</t>
  </si>
  <si>
    <t xml:space="preserve">ótikit</t>
  </si>
  <si>
    <t xml:space="preserve">ø-ó-tikit</t>
  </si>
  <si>
    <t xml:space="preserve">3STATS-be.located.there-FUT</t>
  </si>
  <si>
    <t xml:space="preserve">‘It will be located there.’ (1932:28:1)</t>
  </si>
  <si>
    <t xml:space="preserve">12)  ótikit                                                               
               ø-ó-tikit                                                            
               3STATS-be.located.there-FUT                                          
               ‘It will be located there.’ (1932:28:1)</t>
  </si>
  <si>
    <t xml:space="preserve">[icyāˊmcĕhĕ]</t>
  </si>
  <si>
    <t xml:space="preserve">išyá·mšehe</t>
  </si>
  <si>
    <t xml:space="preserve">iš-yá·mš-ehe</t>
  </si>
  <si>
    <t xml:space="preserve">1PLSTATS-gather-DUB</t>
  </si>
  <si>
    <t xml:space="preserve">‘We might gather it.’ (1932:13:49)</t>
  </si>
  <si>
    <t xml:space="preserve">[icyāˊmcĕhĕ]                                                         
          13)  išyá·mšehe                                                           
               iš-yá·mš-ehe                                                         
               1PLSTATS-gather-DUB                                                  
               ‘We might gather it.’ (1932:13:49)</t>
  </si>
  <si>
    <t xml:space="preserve">išpácháhat</t>
  </si>
  <si>
    <t xml:space="preserve">iš-pác-háh-at</t>
  </si>
  <si>
    <t xml:space="preserve">1PLO-beat-NEG-PRET</t>
  </si>
  <si>
    <t xml:space="preserve">‘He did not beat us.’ (1932:16:103)</t>
  </si>
  <si>
    <t xml:space="preserve">16)  išpácháhat                                                           
               iš-pác-háh-at                                                        
               1PLO-beat-NEG-PRET                                                   
               ‘He did not beat us.’ (1932:16:103)</t>
  </si>
  <si>
    <t xml:space="preserve">[kaˊ-u haˊnĕt]</t>
  </si>
  <si>
    <t xml:space="preserve">káwhánat</t>
  </si>
  <si>
    <t xml:space="preserve">ø-káw-hán-at</t>
  </si>
  <si>
    <t xml:space="preserve">3STATS-die(sg)-ALMOST-PRET</t>
  </si>
  <si>
    <t xml:space="preserve">‘She almost died.’ (1932:13:55)</t>
  </si>
  <si>
    <t xml:space="preserve">[kaˊ-u haˊnĕt]                                                       
          17)  káwhánat                                                             
               ø-káw-hán-at                                                         
               3STATS-die(sg)-ALMOST-PRET                                           
               ‘She almost died.’ (1932:13:55)</t>
  </si>
  <si>
    <t xml:space="preserve">[cukaˊhāˊñctin]</t>
  </si>
  <si>
    <t xml:space="preserve">šoká·kháŋštin</t>
  </si>
  <si>
    <t xml:space="preserve">šoká·k-háŋš-ti-n</t>
  </si>
  <si>
    <t xml:space="preserve">ceremonial.dance-FINISH-PST.PROG-WHEN</t>
  </si>
  <si>
    <t xml:space="preserve">‘When they had finished the ceremonial dance…’ (1932:18:124-25)</t>
  </si>
  <si>
    <t xml:space="preserve">[cukaˊhāˊñctin]                                                      
          18)  šoká·kháŋštin                                                        
               šoká·k-háŋš-ti-n                                                     
               ceremonial.dance-FINISH-PST.PROG-WHEN                                
               ‘When they had finished the ceremonial dance…’ (1932:18:124-25)</t>
  </si>
  <si>
    <t xml:space="preserve">[Taˊkapo icāˊk hatwiˊvat]
/tákapǝ išá·k hatwíβat]</t>
  </si>
  <si>
    <t xml:space="preserve">tákapa išá·k hatwíwat</t>
  </si>
  <si>
    <t xml:space="preserve">takapa    iša·k     hat-wiw-at</t>
  </si>
  <si>
    <t xml:space="preserve">Atakapa   people    REFLEX-believe-PRET</t>
  </si>
  <si>
    <t xml:space="preserve">‘The Atakapa people believed it.’ (1932:17:112-13)</t>
  </si>
  <si>
    <t xml:space="preserve">[Taˊkapo icāˊk hatwiˊvat]                                            
               /tákapǝ išá·k hatwíβat]                                              
          19)  tákapa išá·k hatwíwat                                                
               takapa    iša·k     hat-wiw-at                                       
               Atakapa   people    REFLEX-believe-PRET                              
               ‘The Atakapa people believed it.’ (1932:17:112-13)</t>
  </si>
  <si>
    <t xml:space="preserve">[tuˊl taˊyut iyeˊ kaˊc]
/túl táyʌt iyékaš/</t>
  </si>
  <si>
    <t xml:space="preserve">túl táyot iyékaš</t>
  </si>
  <si>
    <t xml:space="preserve">tul  tay-ot    ø-iye-kaš</t>
  </si>
  <si>
    <t xml:space="preserve">lake river-DIR 3STATS-be.more-be.deep</t>
  </si>
  <si>
    <t xml:space="preserve">‘The lake is deeper than the river.’ (1932:125:1)</t>
  </si>
  <si>
    <t xml:space="preserve">[tuˊl taˊyut iyeˊ kaˊc]                                              
               /túl táyʌt iyékaš/                                                   
          20)  túl táyot iyékaš                                                     
               tul  tay-ot    ø-iye-kaš                                             
               lake river-DIR 3STATS-be.more-be.deep                                
               ‘The lake is deeper than the river.’ (1932:125:1)</t>
  </si>
  <si>
    <t xml:space="preserve">[cokcukyiˊkc yaˊ cukwaˊk ‘n āˊl pai-oˊk yaˊ]
/šokšəkyíkšya šʌkwákn a·l payókya …/</t>
  </si>
  <si>
    <t xml:space="preserve">šokšakyíkšya šokwákn a·l payókya …</t>
  </si>
  <si>
    <t xml:space="preserve">šokšakyikš=ya  šokwak=n  a·l  payok=ya</t>
  </si>
  <si>
    <t xml:space="preserve">sell=and       bread=and meat bring.back=and</t>
  </si>
  <si>
    <t xml:space="preserve">‘She sells, and brings back bread and meat, and…’ (1932:15:75-76)</t>
  </si>
  <si>
    <t xml:space="preserve">[cokcukyiˊkc yaˊ cukwaˊk ‘n āˊl pai-oˊk yaˊ]                         
               /šokšəkyíkšya šʌkwákn a·l payókya …/                                 
          21)  šokšakyíkšya šokwákn a·l payókya …                                   
               šokšakyikš=ya  šokwak=n  a·l  payok=ya                               
               sell=and       bread=and meat bring.back=and                         
               ‘She sells, and brings back bread and meat, and…’ (1932:15:75-76)</t>
  </si>
  <si>
    <t xml:space="preserve">[ta-ucok’koˊ-ikit]</t>
  </si>
  <si>
    <t xml:space="preserve">tawšokkóykit</t>
  </si>
  <si>
    <t xml:space="preserve">taw-šok-ø-koy-kit</t>
  </si>
  <si>
    <t xml:space="preserve">STAND-STH-3STATS-say-PROG</t>
  </si>
  <si>
    <t xml:space="preserve">‘He is standing and saying things, i.e. he is preaching.’ (1932:69:1)</t>
  </si>
  <si>
    <t xml:space="preserve">[ta-ucok’koˊ-ikit]                                                   
          24)  tawšokkóykit                                                         
               taw-šok-ø-koy-kit                                                    
               STAND-STH-3STATS-say-PROG                                            
               ‘He is standing and saying things, i.e. he is preaching.’ (1932:69:1)</t>
  </si>
  <si>
    <t xml:space="preserve">[aˊñ-idsōˊn otōˊlco ‘nkēˊtne yukiˊt aˊnkin]</t>
  </si>
  <si>
    <t xml:space="preserve">aŋicón itólšo n̥ké·tne yukít áŋkin</t>
  </si>
  <si>
    <t xml:space="preserve">aŋicon    itolš-o   n̥-ke·t-ne          yukit aŋ-kin</t>
  </si>
  <si>
    <t xml:space="preserve">room      prepare-1SS 2SSTATS-stay-GER  our  house-LOC</t>
  </si>
  <si>
    <t xml:space="preserve">‘I have prepared a room for you to stay in at our house.’ (1932:12:42-43)</t>
  </si>
  <si>
    <t xml:space="preserve">[aˊñ-idsōˊn otōˊlco ‘nkēˊtne yukiˊt aˊnkin]                          
          25)  aŋicón itólšo n̥ké·tne yukít áŋkin                                   
               aŋicon    itolš-o   n̥-ke·t-ne          yukit aŋ-kin                 
               room      prepare-1SS 2SSTATS-stay-GER  our  house-LOC               
               ‘I have prepared a room for you to stay in at our house.’ (1932:12:42-43)</t>
  </si>
  <si>
    <t xml:space="preserve">[naˊ teˊm ǎˊm]</t>
  </si>
  <si>
    <t xml:space="preserve">ná tém ám</t>
  </si>
  <si>
    <t xml:space="preserve">na        tem       am-ø</t>
  </si>
  <si>
    <t xml:space="preserve">you(sg)   yesterday drink-2/3SS</t>
  </si>
  <si>
    <t xml:space="preserve">‘You drank yesterday.’ (1932:83:1)</t>
  </si>
  <si>
    <t xml:space="preserve">[naˊ teˊm ǎˊm]                                                       
          26)  ná tém ám                                                            
               na        tem       am-ø                                             
               you(sg)   yesterday drink-2/3SS                                      
               ‘You drank yesterday.’ (1932:83:1)</t>
  </si>
  <si>
    <t xml:space="preserve">[haˊ yaˊx]</t>
  </si>
  <si>
    <t xml:space="preserve">há yáh</t>
  </si>
  <si>
    <t xml:space="preserve">ha   yáh-ø</t>
  </si>
  <si>
    <t xml:space="preserve">s/he eat-2/3SS</t>
  </si>
  <si>
    <t xml:space="preserve">‘He eats it.’ (1932:32:2)</t>
  </si>
  <si>
    <t xml:space="preserve">[haˊ yaˊx]                                                           
          27)  há yáh                                                               
               ha   yáh-ø                                                           
               s/he eat-2/3SS                                                       
               ‘He eats it.’ (1932:32:2)</t>
  </si>
  <si>
    <t xml:space="preserve">[naˊkīt oˊktěm makeˊne]</t>
  </si>
  <si>
    <t xml:space="preserve">nakìt óktem makene</t>
  </si>
  <si>
    <t xml:space="preserve">nakit     ok-tem    make-ne</t>
  </si>
  <si>
    <t xml:space="preserve">you(pl)   come-2PLS trade-GER</t>
  </si>
  <si>
    <t xml:space="preserve">‘You all come in order to trade.’ (1932:79:1)</t>
  </si>
  <si>
    <t xml:space="preserve">[naˊkīt oˊktěm makeˊne]                                              
          29)  nakìt óktem makene                                                   
               nakit     ok-tem    make-ne                                          
               you(pl)   come-2PLS trade-GER                                        
               ‘You all come in order to trade.’ (1932:79:1)</t>
  </si>
  <si>
    <t xml:space="preserve">[icāk heˊ-u kiˊwilc ipcoˊx̥ kuˊl]</t>
  </si>
  <si>
    <t xml:space="preserve">iša·khéw kíwilš ipšókul</t>
  </si>
  <si>
    <t xml:space="preserve">iša·k-hew kiwilš    ipšok-ul</t>
  </si>
  <si>
    <t xml:space="preserve">person-PL white.person be.doctor-3PLS</t>
  </si>
  <si>
    <t xml:space="preserve">‘The men are European doctors.’ (1932:67:2)</t>
  </si>
  <si>
    <t xml:space="preserve">[icāk heˊ-u kiˊwilc ipcoˊx̥ kuˊl]                                    
          30)  iša·khéw kíwilš ipšókul                                              
               iša·k-hew kiwilš    ipšok-ul                                         
               person-PL white.person be.doctor-3PLS                                
               ‘The men are European doctors.’ (1932:67:2)</t>
  </si>
  <si>
    <t xml:space="preserve">[cakwaˊntsěn]</t>
  </si>
  <si>
    <t xml:space="preserve">šakwáncn̥</t>
  </si>
  <si>
    <t xml:space="preserve">šak-wanc-n̥</t>
  </si>
  <si>
    <t xml:space="preserve">3PLO-say-2SIMP</t>
  </si>
  <si>
    <t xml:space="preserve">‘Tell it to them!’ (1932:143:1)</t>
  </si>
  <si>
    <t xml:space="preserve">[cakwaˊntsěn]                                                        
          32)  šakwáncn̥                                                            
               šak-wanc-n̥                                                          
               3PLO-say-2SIMP                                                       
               ‘Tell it to them!’ (1932:143:1)</t>
  </si>
  <si>
    <t xml:space="preserve">[mon hoˊktiˊwe puˊmlo]</t>
  </si>
  <si>
    <t xml:space="preserve">mo·n hoktiwé·púmlo</t>
  </si>
  <si>
    <t xml:space="preserve">mo·n hok-tiwe·-pum-lo</t>
  </si>
  <si>
    <t xml:space="preserve">all  RECIP-be.together-dance-1PLIMP</t>
  </si>
  <si>
    <t xml:space="preserve">‘Let us all dance together!” (1932:107:1)</t>
  </si>
  <si>
    <t xml:space="preserve">[mon hoˊktiˊwe puˊmlo]                                               
          33)  mo·n hoktiwé·púmlo                                                   
               mo·n hok-tiwe·-pum-lo                                                
               all  RECIP-be.together-dance-1PLIMP                                  
               ‘Let us all dance together!” (1932:107:1)</t>
  </si>
  <si>
    <t xml:space="preserve">[yukiˊt tiuoˊ-ilo]</t>
  </si>
  <si>
    <t xml:space="preserve">yukít tiwóylo</t>
  </si>
  <si>
    <t xml:space="preserve">yukit tiw-oy-lo</t>
  </si>
  <si>
    <t xml:space="preserve">we   GO(PL)-sleep-1PLIMP</t>
  </si>
  <si>
    <t xml:space="preserve">‘Let us go and sleep!’ (1932:96:1)</t>
  </si>
  <si>
    <t xml:space="preserve">[yukiˊt tiuoˊ-ilo]                                                   
          34)  yukít tiwóylo                                                        
               yukit tiw-oy-lo                                                      
               we   GO(PL)-sleep-1PLIMP                                             
               ‘Let us go and sleep!’ (1932:96:1)</t>
  </si>
  <si>
    <t xml:space="preserve">[yukiˊt aˊñ ot tūˊkto]</t>
  </si>
  <si>
    <t xml:space="preserve">yukít áŋot túkto</t>
  </si>
  <si>
    <t xml:space="preserve">yukit aŋ-ot    tuk-to</t>
  </si>
  <si>
    <t xml:space="preserve">our  house-DIR bring-2PLIMP</t>
  </si>
  <si>
    <t xml:space="preserve">‘Bring it to our house, you all!’ (1932:136:2)</t>
  </si>
  <si>
    <t xml:space="preserve">[yukiˊt aˊñ ot tūˊkto]                                               
          35)  yukít áŋot túkto                                                     
               yukit aŋ-ot    tuk-to                                                
               our  house-DIR bring-2PLIMP                                          
               ‘Bring it to our house, you all!’ (1932:136:2)</t>
  </si>
  <si>
    <t xml:space="preserve">himìš kawkàw</t>
  </si>
  <si>
    <t xml:space="preserve">hi-miš-ø            kawkaw</t>
  </si>
  <si>
    <t xml:space="preserve">1SOBJ-give-2SIMP    water</t>
  </si>
  <si>
    <t xml:space="preserve">‘Give me water!” (1932:80:2)</t>
  </si>
  <si>
    <t xml:space="preserve">37)  himìš kawkàw                                                         
               hi-miš-ø            kawkaw                                           
               1SOBJ-give-2SIMP    water                                            
               ‘Give me water!” (1932:80:2)</t>
  </si>
  <si>
    <t xml:space="preserve">[‘n huˊ-u ha]</t>
  </si>
  <si>
    <t xml:space="preserve">n̥húoháh</t>
  </si>
  <si>
    <t xml:space="preserve">n̥-hu-o-hah</t>
  </si>
  <si>
    <t xml:space="preserve">2SOBJ-see-1SS-NEG</t>
  </si>
  <si>
    <t xml:space="preserve">‘I do not see you.’ (1932:34:1)</t>
  </si>
  <si>
    <t xml:space="preserve">[‘n huˊ-u ha]                                                        
          38)  n̥húoháh                                                             
               n̥-hu-o-hah                                                          
               2SOBJ-see-1SS-NEG                                                    
               ‘I do not see you.’ (1932:34:1)</t>
  </si>
  <si>
    <t xml:space="preserve">[icpaˊts haˊhat]</t>
  </si>
  <si>
    <t xml:space="preserve">iš-ø-pac-hah-at</t>
  </si>
  <si>
    <t xml:space="preserve">1PLOBJ-3STATS-beat-NEG-PRET</t>
  </si>
  <si>
    <t xml:space="preserve">[icpaˊts haˊhat]                                                     
          39)  išpácháhat                                                           
               iš-ø-pac-hah-at                                                      
               1PLOBJ-3STATS-beat-NEG-PRET                                          
               ‘He did not beat us.’ (1932:16:103)</t>
  </si>
  <si>
    <t xml:space="preserve">[haˊ naˊk tsuˊmĕt]</t>
  </si>
  <si>
    <t xml:space="preserve">há nakcúmat</t>
  </si>
  <si>
    <t xml:space="preserve">ha   nak-ø-cum-at</t>
  </si>
  <si>
    <t xml:space="preserve">he   2PLOBJ-3STATS-pinch-PRET</t>
  </si>
  <si>
    <t xml:space="preserve">‘He pinched you all.’ (1932:123:1)</t>
  </si>
  <si>
    <t xml:space="preserve">[haˊ naˊk tsuˊmĕt]                                                   
          40)  há nakcúmat                                                          
               ha   nak-ø-cum-at                                                    
               he   2PLOBJ-3STATS-pinch-PRET                                        
               ‘He pinched you all.’ (1932:123:1)</t>
  </si>
  <si>
    <t xml:space="preserve">[wi hikaˊwĕt]</t>
  </si>
  <si>
    <t xml:space="preserve">wí hikáwat</t>
  </si>
  <si>
    <t xml:space="preserve">wi   hi-kaw-at</t>
  </si>
  <si>
    <t xml:space="preserve">I    1SSTATS-be.dead/drunk-PRET</t>
  </si>
  <si>
    <t xml:space="preserve">‘I was drunk.’ Or, with resultative meaning, ‘I am drunk.’ (1932:60:2)</t>
  </si>
  <si>
    <t xml:space="preserve">[wi hikaˊwĕt]                                                        
          41)  wí hikáwat                                                           
               wi   hi-kaw-at                                                       
               I    1SSTATS-be.dead/drunk-PRET                                      
               ‘I was drunk.’ Or, with resultative meaning, ‘I am drunk.’ (1932:60:2)</t>
  </si>
  <si>
    <t xml:space="preserve">[hilaˊwet]</t>
  </si>
  <si>
    <t xml:space="preserve">hiláwat</t>
  </si>
  <si>
    <t xml:space="preserve">hi-law-at</t>
  </si>
  <si>
    <t xml:space="preserve">1SSTATS-be.burned- PRET</t>
  </si>
  <si>
    <t xml:space="preserve">‘I got burned.’ (1932:40:1)</t>
  </si>
  <si>
    <t xml:space="preserve">[hilaˊwet]                                                           
          42)  hiláwat                                                              
               hi-law-at                                                            
               1SSTATS-be.burned- PRET                                              
               ‘I got burned.’ (1932:40:1)</t>
  </si>
  <si>
    <t xml:space="preserve">[wi ikāt ‘npaˊkat]</t>
  </si>
  <si>
    <t xml:space="preserve">wi iká·t n̥pákat</t>
  </si>
  <si>
    <t xml:space="preserve">wi   ika·t n̥-pak-at</t>
  </si>
  <si>
    <t xml:space="preserve">my   foot 2SSTATS-step.on- PRET</t>
  </si>
  <si>
    <t xml:space="preserve">‘You stepped on my foot.’ (1932:20:143)</t>
  </si>
  <si>
    <t xml:space="preserve">[wi ikāt ‘npaˊkat]                                                   
          43)  wi iká·t n̥pákat                                                     
               wi   ika·t n̥-pak-at                                                 
               my   foot 2SSTATS-step.on- PRET                                      
               ‘You stepped on my foot.’ (1932:20:143)</t>
  </si>
  <si>
    <t xml:space="preserve">[Haˊlkin tsīˊpcat Yuk’hiˊti Tuˊl oˊt]</t>
  </si>
  <si>
    <t xml:space="preserve">hálkin cípšat yukhíti túlot</t>
  </si>
  <si>
    <t xml:space="preserve">halkin    cipš-ø-at      yukhiti   tul-ot</t>
  </si>
  <si>
    <t xml:space="preserve">afterwards move-3SS-PRET Indian    lake-DIR</t>
  </si>
  <si>
    <t xml:space="preserve">‘Afterwards he moved to Lake Prien (Indian Lake).’ (1932:16:95)</t>
  </si>
  <si>
    <t xml:space="preserve">[Haˊlkin tsīˊpcat Yuk’hiˊti Tuˊl oˊt]                                
          44)  hálkin cípšat yukhíti túlot                                          
               halkin    cipš-ø-at      yukhiti   tul-ot                            
               afterwards move-3SS-PRET Indian    lake-DIR                          
               ‘Afterwards he moved to Lake Prien (Indian Lake).’ (1932:16:95)</t>
  </si>
  <si>
    <t xml:space="preserve">[Yukiˊts icatsiˊckicat yukiˊt okēt huˊne]</t>
  </si>
  <si>
    <t xml:space="preserve">yukíts iššaccíškišat yukít oké·t húne.</t>
  </si>
  <si>
    <t xml:space="preserve">yukit-š   iš-hat-ciškiš-at         yukit oke·t    hu-ne.</t>
  </si>
  <si>
    <t xml:space="preserve">we-FOC    1PLSTATS-REFLEX-be:glad-PRET our mother see-GER</t>
  </si>
  <si>
    <t xml:space="preserve">‘We were glad to see our mother.’ (1932:17:109)</t>
  </si>
  <si>
    <t xml:space="preserve">[Yukiˊts icatsiˊckicat yukiˊt okēt huˊne]                            
          45)  yukíts iššaccíškišat yukít oké·t húne.                               
               yukit-š   iš-hat-ciškiš-at         yukit oke·t    hu-ne.             
               we-FOC    1PLSTATS-REFLEX-be:glad-PRET our mother see-GER            
               ‘We were glad to see our mother.’ (1932:17:109)</t>
  </si>
  <si>
    <t xml:space="preserve">[Yukīˊts tiˊcne icōˊñcat]</t>
  </si>
  <si>
    <t xml:space="preserve">yukíts tíšne išóŋšat</t>
  </si>
  <si>
    <t xml:space="preserve">yukit-š   tiš-ne    iš-oŋš-at</t>
  </si>
  <si>
    <t xml:space="preserve">we-FOC    go(sg)-GER 1PLSTATS-not.want-PRET</t>
  </si>
  <si>
    <t xml:space="preserve">‘We did not want her to go.’ (1932:17:110)</t>
  </si>
  <si>
    <t xml:space="preserve">[Yukīˊts tiˊcne icōˊñcat]                                            
          46)  yukíts tíšne išóŋšat                                                 
               yukit-š   tiš-ne    iš-oŋš-at                                        
               we-FOC    go(sg)-GER 1PLSTATS-not.want-PRET                          
               ‘We did not want her to go.’ (1932:17:110)</t>
  </si>
  <si>
    <t xml:space="preserve">[nak cakaˊxlecat]</t>
  </si>
  <si>
    <t xml:space="preserve">nakšakáɬišat</t>
  </si>
  <si>
    <t xml:space="preserve">nak-šak-aƛiš-at</t>
  </si>
  <si>
    <t xml:space="preserve">2PLSTATS-3PLOBJ-lose-PRET</t>
  </si>
  <si>
    <t xml:space="preserve">‘You all lost them’ (1932:13:58)</t>
  </si>
  <si>
    <t xml:space="preserve">[nak cakaˊxlecat]                                                    
          47)  nakšakáɬišat                                                         
               nak-šak-aƛiš-at                                                      
               2PLSTATS-3PLOBJ-lose-PRET                                            
               ‘You all lost them’ (1932:13:58)</t>
  </si>
  <si>
    <t xml:space="preserve">[hakiˊt teˊm ăˊmulĕt]</t>
  </si>
  <si>
    <t xml:space="preserve">hakít tém ámulat</t>
  </si>
  <si>
    <t xml:space="preserve">hakit tem      am-ul-at</t>
  </si>
  <si>
    <t xml:space="preserve">they yesterday drink-3PLS-PRET</t>
  </si>
  <si>
    <t xml:space="preserve">‘They drank yesterday.’ (1932:129:1)</t>
  </si>
  <si>
    <t xml:space="preserve">[hakiˊt teˊm ăˊmulĕt]                                                
          48)  hakít tém ámulat                                                     
               hakit tem      am-ul-at                                              
               they yesterday drink-3PLS-PRET                                       
               ‘They drank yesterday.’ (1932:129:1)</t>
  </si>
  <si>
    <t xml:space="preserve">[yaˊ ka-ucnăˊ paˊl’at]</t>
  </si>
  <si>
    <t xml:space="preserve">yá káwšne páłat</t>
  </si>
  <si>
    <t xml:space="preserve">ya   kawšne    ø-paƛ-at</t>
  </si>
  <si>
    <t xml:space="preserve">that comb      3STATS-be.broken-PRET</t>
  </si>
  <si>
    <t xml:space="preserve">‘That comb is broken.’ (1932:102:2)</t>
  </si>
  <si>
    <t xml:space="preserve">[yaˊ ka-ucnăˊ paˊl’at]                                               
          49)  yá káwšne páłat                                                      
               ya   kawšne    ø-paƛ-at                                              
               that comb      3STATS-be.broken-PRET                                 
               ‘That comb is broken.’ (1932:102:2)</t>
  </si>
  <si>
    <t xml:space="preserve">[Yíl mōn taˊ-i ō hoˊktiwē icwāˊñĕhĕ]</t>
  </si>
  <si>
    <t xml:space="preserve">yíl mo·n táy o hoktiwé·išwáŋehe</t>
  </si>
  <si>
    <t xml:space="preserve">yil  mo·n tay  o         hok-tiwe·-iš-waŋ-ehe</t>
  </si>
  <si>
    <t xml:space="preserve">day  every river along   RECIP-be.together-1PLSTATS-walk-DUB 3</t>
  </si>
  <si>
    <t xml:space="preserve">‘We might walk along the river together every day.’ (1932:13:45)</t>
  </si>
  <si>
    <t xml:space="preserve">[Yíl mōn taˊ-i ō hoˊktiwē icwāˊñĕhĕ]                                 
          50)  yíl mo·n táy o hoktiwé·išwáŋehe                                      
               yil  mo·n tay  o         hok-tiwe·-iš-waŋ-ehe                        
               day  every river along   RECIP-be.together-1PLSTATS-walk-DUB 3       
               ‘We might walk along the river together every day.’ (1932:13:45)</t>
  </si>
  <si>
    <t xml:space="preserve">[ha hilaˊ-i aˊv oˊt’ĕhĕ]</t>
  </si>
  <si>
    <t xml:space="preserve">ha hiláy áwp ókehe</t>
  </si>
  <si>
    <t xml:space="preserve">ha   hilay awp ok-ø-ehe</t>
  </si>
  <si>
    <t xml:space="preserve">his  wife here come-3SS-DUB</t>
  </si>
  <si>
    <t xml:space="preserve">‘His wife may come here.’ (1932:41:1)</t>
  </si>
  <si>
    <t xml:space="preserve">[ha hilaˊ-i aˊv oˊt’ĕhĕ]                                             
          51)  ha hiláy áwp ókehe                                                   
               ha   hilay awp ok-ø-ehe                                              
               his  wife here come-3SS-DUB                                          
               ‘His wife may come here.’ (1932:41:1)</t>
  </si>
  <si>
    <t xml:space="preserve">[haˊkit cokoˊ-i-yulĕhĕ]</t>
  </si>
  <si>
    <t xml:space="preserve">hakìt šokóyulehe</t>
  </si>
  <si>
    <t xml:space="preserve">hakit šokoy-ul-ehe</t>
  </si>
  <si>
    <t xml:space="preserve">they be.chief-3PLS-DUB</t>
  </si>
  <si>
    <t xml:space="preserve">‘They may become chiefs.’ (1932:69:1)</t>
  </si>
  <si>
    <t xml:space="preserve">[haˊkit cokoˊ-i-yulĕhĕ]                                              
          53)  hakìt šokóyulehe                                                     
               hakit šokoy-ul-ehe                                                   
               they be.chief-3PLS-DUB                                               
               ‘They may become chiefs.’ (1932:69:1)</t>
  </si>
  <si>
    <t xml:space="preserve">[haˊl hiwaˊntikit haˊ]</t>
  </si>
  <si>
    <t xml:space="preserve">hál hiwáŋtikithah</t>
  </si>
  <si>
    <t xml:space="preserve">hal  hi-waŋ-tikit-hah</t>
  </si>
  <si>
    <t xml:space="preserve">again 1SSTATS-walk-FUT-NEG</t>
  </si>
  <si>
    <t xml:space="preserve">‘I shall not walk again.’ (1932:141:1)</t>
  </si>
  <si>
    <t xml:space="preserve">[haˊl hiwaˊntikit haˊ]                                               
          55)  hál hiwáŋtikithah                                                    
               hal  hi-waŋ-tikit-hah                                                
               again 1SSTATS-walk-FUT-NEG                                           
               ‘I shall not walk again.’ (1932:141:1)</t>
  </si>
  <si>
    <t xml:space="preserve">ùštikit</t>
  </si>
  <si>
    <t xml:space="preserve">ø-uš-tikit</t>
  </si>
  <si>
    <t xml:space="preserve">3STATS-be.so- FUT</t>
  </si>
  <si>
    <t xml:space="preserve">[uctiˊkit]                                                           
          57)  ùštikit                                                              
               ø-uš-tikit                                                           
               3STATS-be.so- FUT                                                    
               ‘It will be so.’ (1932:139:2)</t>
  </si>
  <si>
    <t xml:space="preserve">[himakauˊkit]</t>
  </si>
  <si>
    <t xml:space="preserve">himakáwkit</t>
  </si>
  <si>
    <t xml:space="preserve">hi-makaw-kit</t>
  </si>
  <si>
    <t xml:space="preserve">1SSTATS-fall(sg)-PROG(SG)</t>
  </si>
  <si>
    <t xml:space="preserve">‘I am falling.’ (1932:78:1)</t>
  </si>
  <si>
    <t xml:space="preserve">[himakauˊkit]                                                        
          58)  himakáwkit                                                           
               hi-makaw-kit                                                         
               1SSTATS-fall(sg)-PROG(SG)                                            
               ‘I am falling.’ (1932:78:1)</t>
  </si>
  <si>
    <t xml:space="preserve">wí·š á šokhihúkitháhš</t>
  </si>
  <si>
    <t xml:space="preserve">wi-iš a   šok-hi-hu-kit-hahš</t>
  </si>
  <si>
    <t xml:space="preserve">I-foc this sth-1SSTATS-see-PROG(SG)-NEG</t>
  </si>
  <si>
    <t xml:space="preserve">‘I don’t see anything.’ (1932:34:2)</t>
  </si>
  <si>
    <t xml:space="preserve">59)  wí·š á šokhihúkitháhš                                                
               wi-iš a   šok-hi-hu-kit-hahš                                         
               I-foc this sth-1SSTATS-see-PROG(SG)-NEG                              
               ‘I don’t see anything.’ (1932:34:2)</t>
  </si>
  <si>
    <t xml:space="preserve">[nkaˊkit]</t>
  </si>
  <si>
    <t xml:space="preserve">n̥kákit</t>
  </si>
  <si>
    <t xml:space="preserve">n̥-ka-kit</t>
  </si>
  <si>
    <t xml:space="preserve">2SSTATS-do-PROG(SG)</t>
  </si>
  <si>
    <t xml:space="preserve">‘You are doing it.’ (1932:55:2)</t>
  </si>
  <si>
    <t xml:space="preserve">[nkaˊkit]                                                            
          60)  n̥kákit                                                              
               n̥-ka-kit                                                            
               2SSTATS-do-PROG(SG)                                                  
               ‘You are doing it.’ (1932:55:2)</t>
  </si>
  <si>
    <t xml:space="preserve">[Tsīs wāñ-haihaiˊckit]</t>
  </si>
  <si>
    <t xml:space="preserve">cíš waŋhayháyškit</t>
  </si>
  <si>
    <t xml:space="preserve">ciš  ø-waŋ-hayhayš-kit</t>
  </si>
  <si>
    <t xml:space="preserve">baby 3STATS-go.about-cry-PROG(SG)</t>
  </si>
  <si>
    <t xml:space="preserve">‘The baby is going about crying.’ (1932:14:66)</t>
  </si>
  <si>
    <t xml:space="preserve">[Tsīs wāñ-haihaiˊckit]                                               
          61)  cíš waŋhayháyškit                                                    
               ciš  ø-waŋ-hayhayš-kit                                               
               baby 3STATS-go.about-cry-PROG(SG)                                    
               ‘The baby is going about crying.’ (1932:14:66)</t>
  </si>
  <si>
    <t xml:space="preserve">{kaukáu ishámtit á}</t>
  </si>
  <si>
    <t xml:space="preserve">kawkáw išámtit á</t>
  </si>
  <si>
    <t xml:space="preserve">kawkaw    iš-am-tit           a</t>
  </si>
  <si>
    <t xml:space="preserve">water     1PLSTAT-drink-PROG(PL) Q</t>
  </si>
  <si>
    <t xml:space="preserve">‘Are we drinking water?’ (Gatschet, 1885c:[10])</t>
  </si>
  <si>
    <t xml:space="preserve">{kaukáu ishámtit á}                                                  
          62)  kawkáw išámtit á                                                     
               kawkaw    iš-am-tit           a                                      
               water     1PLSTAT-drink-PROG(PL) Q                                   
               ‘Are we drinking water?’ (Gatschet, 1885c:[10])</t>
  </si>
  <si>
    <t xml:space="preserve">{kaukaú nak amtit á}</t>
  </si>
  <si>
    <t xml:space="preserve">kawkáw nakámtit á</t>
  </si>
  <si>
    <t xml:space="preserve">kawkaw    nak-am-tit          a</t>
  </si>
  <si>
    <t xml:space="preserve">water     2PLSTATS-drink-PROG(PL) Q</t>
  </si>
  <si>
    <t xml:space="preserve">‘Are you all drinking water?’ (Gatschet, 1885c:[10])</t>
  </si>
  <si>
    <t xml:space="preserve">{kaukaú nak amtit á}                                                 
          64)  kawkáw nakámtit á                                                    
               kawkaw    nak-am-tit          a                                      
               water     2PLSTATS-drink-PROG(PL) Q                                  
               ‘Are you all drinking water?’ (Gatschet, 1885c:[10])</t>
  </si>
  <si>
    <t xml:space="preserve">[naˊ-u taˊ-u-walwaˊlctit]</t>
  </si>
  <si>
    <t xml:space="preserve">náw tawwalwálštit</t>
  </si>
  <si>
    <t xml:space="preserve">naw       taw-ø-walwalš-tit</t>
  </si>
  <si>
    <t xml:space="preserve">feather STAND-3STATS-wave-PROG(PL)</t>
  </si>
  <si>
    <t xml:space="preserve">‘The feathers are waving.’ (1932:131:1)</t>
  </si>
  <si>
    <t xml:space="preserve">[naˊ-u taˊ-u-walwaˊlctit]                                            
          65)  náw tawwalwálštit                                                    
               naw       taw-ø-walwalš-tit                                          
               feather STAND-3STATS-wave-PROG(PL)                                   
               ‘The feathers are waving.’ (1932:131:1)</t>
  </si>
  <si>
    <t xml:space="preserve">{shakshṓsh shóksho wáng-shólktit}</t>
  </si>
  <si>
    <t xml:space="preserve">šakšó·š šakšò wáŋšólktit</t>
  </si>
  <si>
    <t xml:space="preserve">šakšo·š   šak-šo    waŋ-ø-šolk-tit</t>
  </si>
  <si>
    <t xml:space="preserve">bird      PL-seed   go.about-3STATS-pick.up.many-PROG(PL)</t>
  </si>
  <si>
    <t xml:space="preserve">‘The birds are going about picking up the seeds.’ (Gatschet, 1885b:90)</t>
  </si>
  <si>
    <t xml:space="preserve">{shakshṓsh shóksho wáng-shólktit}                                   
          66)  šakšó·š šakšò wáŋšólktit                                             
               šakšo·š   šak-šo    waŋ-ø-šolk-tit                                   
               bird      PL-seed   go.about-3STATS-pick.up.many-PROG(PL)            
               ‘The birds are going about picking up the seeds.’ (Gatschet, 1885b:90)</t>
  </si>
  <si>
    <t xml:space="preserve">[Iˊcāk hilaˊ-i tanuˊk keˊat. icāk hilaˊ-i tsīk keˊ-ĕn hatseˊ-ec]</t>
  </si>
  <si>
    <t xml:space="preserve">išà·k hiláy tanúk kéat. išá·k hiláy cí·k kén̥ hacehéš</t>
  </si>
  <si>
    <t xml:space="preserve">iša·k     hilay tanuk ø-ke-at.     iša·k     hilay ci·k</t>
  </si>
  <si>
    <t xml:space="preserve">person    wife one  3STATS-have-PRET person  wife two</t>
  </si>
  <si>
    <t xml:space="preserve">ø-ke-n̥        haceheš</t>
  </si>
  <si>
    <t xml:space="preserve">3STATS-have-IF be.bad</t>
  </si>
  <si>
    <t xml:space="preserve">‘A man had only one wife. If a man has two wives, it is a bad thing.’(1932:10;15-16)</t>
  </si>
  <si>
    <t xml:space="preserve">[Iˊcāk hilaˊ-i tanuˊk keˊat. icāk hilaˊ-i tsīk keˊ-ĕn hatseˊ-ec]     
          67)  išà·k hiláy tanúk kéat. išá·k hiláy cí·k kén̥ hacehéš                
               iša·k     hilay tanuk ø-ke-at.     iša·k     hilay ci·k              
               person    wife one  3STATS-have-PRET person  wife two                
               ø-ke-n̥        haceheš                                               
               3STATS-have-IF be.bad                                                
               ‘A man had only one wife. If a man has two wives, it is a bad thing.’(1932:10;15-16)</t>
  </si>
  <si>
    <t xml:space="preserve">[Icāˊk hokwaˊñc wāˊñĕn haˊ cok’-okināˊtsne mōn hoktiwēˊ imōˊculat]</t>
  </si>
  <si>
    <t xml:space="preserve">išá·k hokwáŋš wáŋn̥ ha šokhokinácne mo·n hoktiwé·himó·šulat</t>
  </si>
  <si>
    <t xml:space="preserve">iša·k     hokwaŋš   ø-waŋ-n̥       ha   šok-hok-inac-ne</t>
  </si>
  <si>
    <t xml:space="preserve">person    war       3STATS-go.about-IF his STH-RECIP-fight-GER</t>
  </si>
  <si>
    <t xml:space="preserve">mo·n hok-tiwe·-himo·š-ul-at</t>
  </si>
  <si>
    <t xml:space="preserve">all  RECIP-be.together-bury-3PLS-PRET</t>
  </si>
  <si>
    <t xml:space="preserve">‘If a person had gone to war, they buried all his weapons together with him.’ (1932:19:129-30)</t>
  </si>
  <si>
    <t xml:space="preserve">[Icāˊk hokwaˊñc wāˊñĕn haˊ cok’-okināˊtsne mōn hoktiwēˊ imōˊculat]   
          68)  išá·k hokwáŋš wáŋn̥ ha šokhokinácne mo·n hoktiwé·himó·šulat          
               iša·k     hokwaŋš   ø-waŋ-n̥       ha   šok-hok-inac-ne              
               person    war       3STATS-go.about-IF his STH-RECIP-fight-GER       
               mo·n hoktiwe·-himo·š-ul-at                                           
               all  be.together-bury-3PLS-PRET                                      
               ‘If a person had gone to war, they buried all his weapons together with him.’
               (1932:19:129-30)</t>
  </si>
  <si>
    <t xml:space="preserve">[aˊv ‘nokĕn icăˊmĕhĕ]</t>
  </si>
  <si>
    <t xml:space="preserve">áwp n̥ókn̥ išámehe</t>
  </si>
  <si>
    <t xml:space="preserve">awp  n̥-ok-n̥       iš-am-ehe</t>
  </si>
  <si>
    <t xml:space="preserve">here 2STATS-come-IF 1PLSTATS-drink-DUB</t>
  </si>
  <si>
    <t xml:space="preserve">‘If you come here, we might then drink it.’ (1932:26:1)</t>
  </si>
  <si>
    <t xml:space="preserve">[aˊv ‘nokĕn icăˊmĕhĕ]                                                
          69)  áwp n̥ókn̥ išámehe                                                   
               awp  n̥-ok-n̥       iš-am-ehe                                        
               here 2STATS-come-IF 1PLSTATS-drink-DUB                               
               ‘If you come here, we might then drink it.’ (1932:26:1)</t>
  </si>
  <si>
    <t xml:space="preserve">[cukaˊhāˊñctin imōˊculat]</t>
  </si>
  <si>
    <t xml:space="preserve">šoká·kháŋštin himó·šulat</t>
  </si>
  <si>
    <t xml:space="preserve">šoká·k-háŋš-ti-n                   himo·š-ul-at</t>
  </si>
  <si>
    <t xml:space="preserve">ceremonial.dance-FINISH-PST.PROG-WHEN bury-3PLS-PRET</t>
  </si>
  <si>
    <t xml:space="preserve">‘When they had finished the ceremonial dance, they buried him/her.’ (1932:18:124-25)</t>
  </si>
  <si>
    <t xml:space="preserve">[cukaˊhāˊñctin imōˊculat]                                            
          71)  šoká·kháŋštin himó·šulat                                             
               šoká·k-háŋš-ti-n                   himo·š-ul-at                      
               ceremonial.dance-FINISH-PST.PROG-WHEN bury-3PLS-PRET                 
               ‘When they had finished the ceremonial dance, they buried him/her.’ (1932:18:124-25)</t>
  </si>
  <si>
    <t xml:space="preserve">[nec hicoˊmckin yuk’hiˊti tulip lōˊx̥ kin iwāˊt’n hūˊnst yiˊl iwāˊt’n]</t>
  </si>
  <si>
    <t xml:space="preserve">neš išó·mškin yukhíti túlip lókkin iwá·tn̥ húnst yíl iwá·tn̥</t>
  </si>
  <si>
    <t xml:space="preserve">neš  išo·mš-kin yukhiti tul-ip lok-kin  ø-iwa·t-n̥</t>
  </si>
  <si>
    <t xml:space="preserve">tree small(pl)-LOC Indian lake-INESS prairie-LOC 3STATS-move.hither-WHEN</t>
  </si>
  <si>
    <t xml:space="preserve">Ø-hu-nst       yil       ø-iwa·t-n̥</t>
  </si>
  <si>
    <t xml:space="preserve">3STATS-see-CUSTOM by.day 3STATS-move.hither-WHEN</t>
  </si>
  <si>
    <t xml:space="preserve">‘They customarily see it in the brush around Lake Prien (Indian Lake), when it moves towards them in the prairie, when it moves towards them by day.’ (1932:11:35- 36)</t>
  </si>
  <si>
    <t xml:space="preserve">[nec hicoˊmckin yuk’hiˊti tulip lōˊx̥ kin iwāˊt’n hūˊnst yiˊl iwāˊt’n]
          72)  neš išó·mškin yukhíti túlip lókkin iwá·tn̥ húnst yíl iwá·tn̥         
               neš  išo·mš-kin yukhiti tul-ip lok-kin  ø-iwa·t-n̥                   
               tree small(pl)-LOC Indian lake-INESS prairie-LOC 3STATS-move.hither-WHEN
               ø-hu-nšt       yil       ø-iwa·t-n̥                                  
               3STATS-see-CUSTOM by.day 3STATS-move.hither-WHEN                     
               ‘They customarily see it in the brush around Lake Prien (Indian Lake), when it
               moves towards them in the prairie, when it moves towards them by day.’ (1932:11:35-
               36)</t>
  </si>
  <si>
    <t xml:space="preserve">[kiˊc ‘ntoˊlĕn naˊxkan tiˊcĕn]</t>
  </si>
  <si>
    <t xml:space="preserve">kíš n̥tóln̥ náhka n̥tíšn̥</t>
  </si>
  <si>
    <t xml:space="preserve">kíš       n̥-tol-n̥      nahka          n̥-tíš-n̥</t>
  </si>
  <si>
    <t xml:space="preserve">woman     2SSTATS-be.good-IF &lt;must.not&gt;7 2SSTATS-go-IF</t>
  </si>
  <si>
    <t xml:space="preserve">‘If you are a good woman, you must not go.’ (1932:34:1)</t>
  </si>
  <si>
    <t xml:space="preserve">[kiˊc ‘ntoˊlĕn naˊxkan tiˊcĕn]                                       
          74)  kíš n̥tóln̥ náhka n̥tíšn̥                                            
               kíš       n̥-tol-n̥      nahka          n̥-tíš-n̥                    
               woman     2SSTATS-be.good-IF &lt;must.not&gt;7 2SSTATS-go-IF               
               ‘If you are a good woman, you must not go.’ (1932:34:1)</t>
  </si>
  <si>
    <t xml:space="preserve">[coˊk (h)iwineˊat nāˊkc naˊxkan waˊncĕn]</t>
  </si>
  <si>
    <t xml:space="preserve">šók hiwinéat ná·kš náhka n̥wáncn̥</t>
  </si>
  <si>
    <t xml:space="preserve">šók       hi-wine-at     na-ik-š        nahka</t>
  </si>
  <si>
    <t xml:space="preserve">something 1SSTATS-find-PRET you-ERG.AGNT-FOC must.not7</t>
  </si>
  <si>
    <t xml:space="preserve">n̥-wanc-n̥</t>
  </si>
  <si>
    <t xml:space="preserve">2SSTATS-tell-IF</t>
  </si>
  <si>
    <t xml:space="preserve">‘I found something; you must say nothing to anyone.’ (1932:142:2)</t>
  </si>
  <si>
    <t xml:space="preserve">[coˊk (h)iwineˊat nāˊkc naˊxkan waˊncĕn]                             
          75)  šók hiwinéat ná·kš náhka n̥wáncn̥                                    
               šók       hi-wine-at     na-ik-š        nahka                        
               something 1SSTATS-find-PRET you-ERG.AGNT-FOC must.not7               
               n̥-wanc-n̥                                                           
               2SSTATS-tell-IF                                                      
               ‘I found something; you must say nothing to anyone.’ (1932:142:2)</t>
  </si>
  <si>
    <t xml:space="preserve">[yukiˊt paiˊ ōˊktsen]</t>
  </si>
  <si>
    <t xml:space="preserve">yukít payókcenn</t>
  </si>
  <si>
    <t xml:space="preserve">yukit pay-ok-cel-n̥</t>
  </si>
  <si>
    <t xml:space="preserve">we   BACK-come-1PLS-IF</t>
  </si>
  <si>
    <t xml:space="preserve">‘when we return…’ (1932:158:1)</t>
  </si>
  <si>
    <t xml:space="preserve">[yukiˊt paiˊ ōˊktsen]                                                
          77)  yukít payókcenn                                                      
               yukit pay-ok-cel-n̥                                                  
               we   BACK-come-1PLS-IF                                               
               ‘when we return…’ (1932:158:1)</t>
  </si>
  <si>
    <t xml:space="preserve">[Hikaˊ-uckin kaˊt oˊts paˊkĕt]</t>
  </si>
  <si>
    <t xml:space="preserve">hikáwškin iká·t óc pákat</t>
  </si>
  <si>
    <t xml:space="preserve">hikawš-kin ika·t    oc        ø-pak-at</t>
  </si>
  <si>
    <t xml:space="preserve">finish-WHEN mouth   on.top.of 3STATS-hit-PRET</t>
  </si>
  <si>
    <t xml:space="preserve">‘When she finished, she hit her on the mouth.’ (1932:20:143-44)</t>
  </si>
  <si>
    <t xml:space="preserve">[Hikaˊ-uckin kaˊt oˊts paˊkĕt]                                       
          79)  hikáwškin iká·t óc pákat                                             
               hikawš-kin ika·t    oc        ø-pak-at                               
               finish-WHEN mouth   on.top.of 3STATS-hit-PRET                        
               ‘When she finished, she hit her on the mouth.’ (1932:20:143-44)</t>
  </si>
  <si>
    <t xml:space="preserve">[wiˊc ke hiaˊmkin Jack makaˊwět]</t>
  </si>
  <si>
    <t xml:space="preserve">wí·š kewhiámkin &lt;Jack&gt; makáwat</t>
  </si>
  <si>
    <t xml:space="preserve">wi-iš kew-hi-am-kin      &lt;Jack&gt;    makaw-at</t>
  </si>
  <si>
    <t xml:space="preserve">I-FOC SIT-1SSTATS-drink-WHEN PN    fall(sg)-PRET</t>
  </si>
  <si>
    <t xml:space="preserve">‘When I was sitting and drinking, Jack fell down.’ (1932:62:2)</t>
  </si>
  <si>
    <t xml:space="preserve">[wiˊc ke hiaˊmkin Jack makaˊwět]                                     
          80)  wí·š kewhiámkin &lt;Jack&gt; makáwat                                       
               wi-iš kew-hi-am-kin      &lt;Jack&gt;    makaw-at                          
               I-FOC SIT-1SSTATS-drink-WHEN PN    fall(sg)-PRET                     
               ‘When I was sitting and drinking, Jack fell down.’ (1932:62:2)</t>
  </si>
  <si>
    <t xml:space="preserve">[Wāˊñ-hokpēˊmkin iˊcāk cakōˊñne okcĕkiaˊlat]</t>
  </si>
  <si>
    <t xml:space="preserve">wáŋhokpé·mkin iša·kšakkóŋne okšakyálat</t>
  </si>
  <si>
    <t xml:space="preserve">ø-waŋ-hok-pe·m-kin       iša·kšakkoŋne</t>
  </si>
  <si>
    <t xml:space="preserve">3STATS-go.about-RECIP-shoot-WHEN sheriff</t>
  </si>
  <si>
    <t xml:space="preserve">ok-šak-yal-at</t>
  </si>
  <si>
    <t xml:space="preserve">COME.AND-3PLO-sieze(pl)-PRET</t>
  </si>
  <si>
    <t xml:space="preserve">‘When they were going about shooting at each other, the sheriff came and arrested them.’ (1932:20:147-48)</t>
  </si>
  <si>
    <t xml:space="preserve">[Wāˊñ-hokpēˊmkin iˊcāk cakōˊñne okcĕkiaˊlat]                         
          81)  wáŋhokpé·mkin iša·kšakkóŋne okšakyálat                               
               ø-waŋ-hok-pe·m-kin       iša·kšakkoŋne                               
               3STATS-go.about-RECIP-shoot-WHEN sheriff                             
               ok-šak-yal-at                                                        
               COME.AND-3PLO-sieze(pl)-PRET                                         
               ‘When they were going about shooting at each other, the sheriff came and
               arrested them.’ (1932:20:147-48)</t>
  </si>
  <si>
    <t xml:space="preserve">[hicokēcip hioˊk aˊxcat]</t>
  </si>
  <si>
    <t xml:space="preserve">hišoké·šip hiókháhšat</t>
  </si>
  <si>
    <t xml:space="preserve">hi-šoke·š-ip        hi-ok-hahš-at</t>
  </si>
  <si>
    <t xml:space="preserve">1SSTATS-be.sick-CAUSE 1SSTATS-come-NEG-PRET</t>
  </si>
  <si>
    <t xml:space="preserve">‘Because I was sick, I did not come.’ (1932:38:1)</t>
  </si>
  <si>
    <t xml:space="preserve">[hicokēcip hioˊk aˊxcat]                                             
          82)  hišoké·šip hiókháhšat                                                
               hi-šoke·š-ip        hi-ok-hahš-at                                    
               1SSTATS-be.sick-CAUSE 1SSTATS-come-NEG-PRET                          
               ‘Because I was sick, I did not come.’ (1932:38:1)</t>
  </si>
  <si>
    <t xml:space="preserve">[Jack an laˊkin inhoˊlcilat hiweˊ-uka aˊmip]</t>
  </si>
  <si>
    <t xml:space="preserve">&lt;Jack&gt; aŋlá·kkin inhólšulat hiwéwka ámip</t>
  </si>
  <si>
    <t xml:space="preserve">&lt;Jack&gt;    aŋla·k-kin    inholš-ul-at   hiwew-ka</t>
  </si>
  <si>
    <t xml:space="preserve">PN        jail-LOC put.in-3PLS-PRET be.strong-ADV</t>
  </si>
  <si>
    <t xml:space="preserve">ø-am-ip</t>
  </si>
  <si>
    <t xml:space="preserve">3STATS-drink-CAUSE</t>
  </si>
  <si>
    <t xml:space="preserve">‘They put Jack in jail because he was drinking hard.’ (1932:26:1)</t>
  </si>
  <si>
    <t xml:space="preserve">[Jack an laˊkin inhoˊlcilat hiweˊ-uka aˊmip]                         
          83)  &lt;Jack&gt; aŋlá·kkin inhólšulat hiwéwka ámip                             
               &lt;Jack&gt;    aŋ-la·k-kin    inholš-ul-at   hiwew-ka                     
               PN        house-strong-LOC put.in-3PLS-PRET be.strong-ADV            
               ø-am-ip                                                              
               3STATS-drink-CAUSE                                                   
               ‘They put Jack in jail because he was drinking hard.’ (1932:26:1)</t>
  </si>
  <si>
    <t xml:space="preserve">[kitsaˊk aˊmne toˊl haˊ]</t>
  </si>
  <si>
    <t xml:space="preserve">kicá·k ámne tólháh</t>
  </si>
  <si>
    <t xml:space="preserve">kica·k    am-ne     ø-tol-hah</t>
  </si>
  <si>
    <t xml:space="preserve">whiskey   drink-GER 3STATS-be.good-NEG</t>
  </si>
  <si>
    <t xml:space="preserve">‘It is not good to drink whiskey.’ (1932:135:1)</t>
  </si>
  <si>
    <t xml:space="preserve">[kitsaˊk aˊmne toˊl haˊ]                                             
          84)  kicá·k ámne tólháh                                                   
               kica·k    am-ne     ø-tol-hah                                        
               whiskey   drink-GER 3STATS-be.good-NEG                               
               ‘It is not good to drink whiskey.’ (1932:135:1)</t>
  </si>
  <si>
    <t xml:space="preserve">[puˊns’n kaˊ-u]</t>
  </si>
  <si>
    <t xml:space="preserve">púnsne káo</t>
  </si>
  <si>
    <t xml:space="preserve">punš-ne   ka-o</t>
  </si>
  <si>
    <t xml:space="preserve">blow-GER  make-1SS</t>
  </si>
  <si>
    <t xml:space="preserve">‘I make him blow.’ (1932:107:2)</t>
  </si>
  <si>
    <t xml:space="preserve">[puˊns’n kaˊ-u]                                                      
          85)  púnsne káo                                                           
               punš-ne   ka-o                                                       
               blow-GER  make-1SS                                                   
               ‘I make him blow.’ (1932:107:2)</t>
  </si>
  <si>
    <t xml:space="preserve">nimán kóhšháhulat</t>
  </si>
  <si>
    <t xml:space="preserve">nima-n    ø-kohš-hah-ul-at</t>
  </si>
  <si>
    <t xml:space="preserve">kill-GER  3STATS-want-NEG-3PLS-PRET</t>
  </si>
  <si>
    <t xml:space="preserve">They did not want to kill him. (1932:68:1)</t>
  </si>
  <si>
    <t xml:space="preserve">86)  nimán kóhšháhulat                                                    
               nima-n    ø-kohš-hah-ul-at                                           
               kill-GER  3STATS-want-NEG-3PLS-PRET                                  
               They did not want to kill him. (1932:68:1)</t>
  </si>
  <si>
    <t xml:space="preserve">[paknaˊ-u wan năn hioˊñc]</t>
  </si>
  <si>
    <t xml:space="preserve">paknáwwáŋne nhióŋš</t>
  </si>
  <si>
    <t xml:space="preserve">paknaw-waŋ-ne  n-hi-oŋš</t>
  </si>
  <si>
    <t xml:space="preserve">run-go.about-GER 2SO-1SSTATS-not.to.want</t>
  </si>
  <si>
    <t xml:space="preserve">‘I don’t want you to go running about.’ (1932:101:2)</t>
  </si>
  <si>
    <t xml:space="preserve">[paknaˊ-u wan năn hioˊñc]                                            
          87)  paknáwwáŋne nhióŋš                                                   
               paknaw-waŋ-ne  n-hi-oŋš                                              
               run-go.about-GER 2SO-1SSTATS-not.to.want                             
               ‘I don’t want you to go running about.’ (1932:101:2)</t>
  </si>
  <si>
    <t xml:space="preserve">[Kēˊtne naˊmtsel tiˊc hāˊxcne]</t>
  </si>
  <si>
    <t xml:space="preserve">ké·tne námcel tišhahšne</t>
  </si>
  <si>
    <t xml:space="preserve">ke·t-ne   nam-cel   tiš-hahš-ne</t>
  </si>
  <si>
    <t xml:space="preserve">stay-GER  beg-1PLS  go(sg)-NEG-GER</t>
  </si>
  <si>
    <t xml:space="preserve">‘We begged her to stay and not to go.’ (1932:17:110-111)</t>
  </si>
  <si>
    <t xml:space="preserve">[Kēˊtne naˊmtsel tiˊc hāˊxcne]                                       
          89)  ké·tne námcel tišhahšne                                              
               ke·t-ne   nam-cel   tiš-hahš-ne                                      
               stay-GER  beg-1PLS  go(sg)-NEG-GER                                   
               ‘We begged her to stay and not to go.’ (1932:17:110-111)</t>
  </si>
  <si>
    <t xml:space="preserve">[aˊñ-idsōˊn otōˊlco ‘nkēˊtne yukiˊt aˊnkin]                          
          90)  aŋicón itólšo n̥ké·tne yukít áŋkin                                   
               aŋicon    itolš-o   n̥-ke·t-ne          yukit aŋ-kin                 
               room      prepare-1SS 2SSTATS-stay-GER  our  house-LOC               
               ‘I have prepared a room for you to stay in at our house.’ (1932:12:42-43)</t>
  </si>
  <si>
    <t xml:space="preserve">[Tsanuˊk miˊcat pēˊnene]</t>
  </si>
  <si>
    <t xml:space="preserve">canúk míšat pénine</t>
  </si>
  <si>
    <t xml:space="preserve">canuk     ø-miš-at       péni-ne</t>
  </si>
  <si>
    <t xml:space="preserve">horse     3SO-give-PRET  cure-GER</t>
  </si>
  <si>
    <t xml:space="preserve">‘She gave him a horse for curing her.’ (1932:13:56-57)</t>
  </si>
  <si>
    <t xml:space="preserve">[Tsanuˊk miˊcat pēˊnene]                                             
          91)  canúk míšat pénine                                                   
               canuk     ø-miš-at       péni-ne                                     
               horse     3SO-give-PRET  cure-GER                                    
               ‘She gave him a horse for curing her.’ (1932:13:56-57)</t>
  </si>
  <si>
    <t xml:space="preserve">[hoˊxp naˊ-ulat coˊ itaˊxne]</t>
  </si>
  <si>
    <t xml:space="preserve">hóp náwulat šó hitáhne</t>
  </si>
  <si>
    <t xml:space="preserve">hop  naw-ul-at      šo   hitah-ne</t>
  </si>
  <si>
    <t xml:space="preserve">hole leave-3PLS-PRET soul come.out-GER</t>
  </si>
  <si>
    <t xml:space="preserve">‘They left a hole for the soul to come out.’ (1932:19:139-140)</t>
  </si>
  <si>
    <t xml:space="preserve">[hoˊxp naˊ-ulat coˊ itaˊxne]                                         
          93)  hóp náwulat šó hitáhne                                               
               hop  naw-ul-at      šo   hitah-ne                                    
               hole leave-3PLS-PRET soul come.out-GER                               
               ‘They left a hole for the soul to come out.’ (1932:19:139-140)</t>
  </si>
  <si>
    <t xml:space="preserve">[Icāˊk icaˊt haˊn huˊ-ulat]</t>
  </si>
  <si>
    <t xml:space="preserve">išá·k išá·t há·n húulat</t>
  </si>
  <si>
    <t xml:space="preserve">iša·k     iša·t ha·n          hu-ul-at</t>
  </si>
  <si>
    <t xml:space="preserve">person    head not.to.have(GER) see-3PLS-PRET</t>
  </si>
  <si>
    <t xml:space="preserve">‘They saw it as not having a human head.’ (1932:11:33)</t>
  </si>
  <si>
    <t xml:space="preserve">[Icāˊk icaˊt haˊn huˊ-ulat]                                          
          94)  išá·k išá·t há·n húulat                                              
               iša·k     iša·t ha·n          hu-ul-at                               
               person    head not.to.have(GER) see-3PLS-PRET                        
               ‘They saw it as not having a human head.’ (1932:11:33)</t>
  </si>
  <si>
    <t xml:space="preserve">[cāˊkco hilōcne hān]</t>
  </si>
  <si>
    <t xml:space="preserve">šá·kšo hiló·šne há·n</t>
  </si>
  <si>
    <t xml:space="preserve">ša·kšo    hi-lohiš-ne    ha·n</t>
  </si>
  <si>
    <t xml:space="preserve">someone   1SO-help-GER   not.to.have(GER)</t>
  </si>
  <si>
    <t xml:space="preserve">‘There is no one to help me.’ (1932:77:2)</t>
  </si>
  <si>
    <t xml:space="preserve">[cāˊkco hilōcne hān]                                                 
          95)  šá·kšo hiló·šne há·n                                                 
               ša·kšo    hi-lohiš-ne    ha·n                                        
               someone   1SO-help-GER   not.to.have(GER)                            
               ‘There is no one to help me.’ (1932:77:2)</t>
  </si>
  <si>
    <t xml:space="preserve">[hakīt cakyīˊkcta oˊkulĕt]</t>
  </si>
  <si>
    <t xml:space="preserve">hakít šakyíkšta ókulat</t>
  </si>
  <si>
    <t xml:space="preserve">hakit šak-yikš-ta   ok-ul-at</t>
  </si>
  <si>
    <t xml:space="preserve">they 3PLO-buy-PCPL  come-3PLS-PRET</t>
  </si>
  <si>
    <t xml:space="preserve">‘They came in order to buy things.’ (1932:155:2)</t>
  </si>
  <si>
    <t xml:space="preserve">[hakīt cakyīˊkcta oˊkulĕt]                                           
          96)  hakít šakyíkšta ókulat                                               
               hakit šak-yikš-ta   ok-ul-at                                         
               they 3PLO-buy-PCPL  come-3PLS-PRET                                   
               ‘They came in order to buy things.’ (1932:155:2)</t>
  </si>
  <si>
    <t xml:space="preserve">[cakikoˊmta oˊko]</t>
  </si>
  <si>
    <t xml:space="preserve">šakikómta óko</t>
  </si>
  <si>
    <t xml:space="preserve">šak-ikom-ta    ok-o</t>
  </si>
  <si>
    <t xml:space="preserve">3PLO-fish-PCPL come-1SS</t>
  </si>
  <si>
    <t xml:space="preserve">‘I come for fishing.’ (1932:70:2)</t>
  </si>
  <si>
    <t xml:space="preserve">[cakikoˊmta oˊko]                                                    
          97)  šakikómta óko                                                        
               šak-ikom-ta    ok-o                                                  
               3PLO-fish-PCPL come-1SS                                              
               ‘I come for fishing.’ (1932:70:2)</t>
  </si>
  <si>
    <t xml:space="preserve">[Yiˊl paˊxĕ ‘nyaˊ-uta ‘noˊkne]</t>
  </si>
  <si>
    <t xml:space="preserve">yíl páhw n̥yáwta n̥ókne</t>
  </si>
  <si>
    <t xml:space="preserve">yil  pahw      n̥-yaw-ta           n̥-ok-ne</t>
  </si>
  <si>
    <t xml:space="preserve">day  seven     2SOBJ-wait.for-PCPL 2SSTATS-come-GER</t>
  </si>
  <si>
    <t xml:space="preserve">‘I am to wait seven days for you to come.’ (1932:12:42)</t>
  </si>
  <si>
    <t xml:space="preserve">[Yiˊl paˊxĕ ‘nyaˊ-uta ‘noˊkne]                                       
          98)  yíl páhw n̥yáwta n̥ókne                                              
               yil  pahw      n̥-yaw-ta           n̥-ok-ne                          
               day  seven     2SOBJ-wait.for-PCPL 2SSTATS-come-GER                  
               ‘I am to wait seven days for you to come.’ (1932:12:42)</t>
  </si>
  <si>
    <t xml:space="preserve">wí nuŋuškin ke·tta</t>
  </si>
  <si>
    <t xml:space="preserve">wi   nuŋuš-kin ke·t-ta</t>
  </si>
  <si>
    <t xml:space="preserve">I    city-LOC  stay-PCPL</t>
  </si>
  <si>
    <t xml:space="preserve">‘I am to stay in New Orleans.’ (1932:139:1)</t>
  </si>
  <si>
    <t xml:space="preserve">99)  wí nuŋuškin ke·tta                                                   
               wi   nuŋuš-kin ke·t-ta                                               
               I    city-LOC  stay-PCPL                                             
               ‘I am to stay in New Orleans.’ (1932:139:1)</t>
  </si>
  <si>
    <t xml:space="preserve">[nē mak oˊtsip tiˊcta wi itēt teweˊta]</t>
  </si>
  <si>
    <t xml:space="preserve">ne·mak ocip tišta wi ite·t tiwe·ta</t>
  </si>
  <si>
    <t xml:space="preserve">ne·mak    oc-ip     tiš-ta    wi   ite·t     tiwe·-ta</t>
  </si>
  <si>
    <t xml:space="preserve">mountain  on-INESS  go(sg)-PCPL my father    be.with-PCPL</t>
  </si>
  <si>
    <t xml:space="preserve">‘I am to go into the mountains in order to be with my father.’ (The possessive phrase indicates the subject of the sentence.) (1932:78:1)</t>
  </si>
  <si>
    <t xml:space="preserve">[nē mak oˊtsip tiˊcta wi itēt teweˊta]                               
          100) ne·mak ocip tišta wi ite·t tiwe·ta                                   
               ne·mak    oc-ip     tiš-ta    wi   ite·t     tiwe·-ta                
               mountain  on-INESS  go(sg)-PCPL my father    be.with-PCPL            
               ‘I am to go into the mountains in order to be with my father.’ (The possessive
               phrase indicates the subject of the sentence.) (1932:78:1)</t>
  </si>
  <si>
    <t xml:space="preserve">{maká-u háχshta}</t>
  </si>
  <si>
    <t xml:space="preserve">makáwháhšta</t>
  </si>
  <si>
    <t xml:space="preserve">makaw-hahš-ta</t>
  </si>
  <si>
    <t xml:space="preserve">fall(sg)-NEG-PCPL</t>
  </si>
  <si>
    <t xml:space="preserve">‘It is not to fall.’ (Gatschet, 1885b:32)</t>
  </si>
  <si>
    <t xml:space="preserve">{maká-u háχshta}                                                     
          101) makáwháhšta                                                          
               makaw-hahš-ta                                                        
               fall(sg)-NEG-PCPL                                                    
               ‘It is not to fall.’ (Gatschet, 1885b:32)</t>
  </si>
  <si>
    <t xml:space="preserve">[ayiˊl kaukauˊkit hēˊyilākc]</t>
  </si>
  <si>
    <t xml:space="preserve">ayíl kawkáwkit hiilákc</t>
  </si>
  <si>
    <t xml:space="preserve">a-yil     kawkaw-kit     hi-ilakc</t>
  </si>
  <si>
    <t xml:space="preserve">this-day  rain-PROG(SG)  1SSTATS-be.bored/lazy</t>
  </si>
  <si>
    <t xml:space="preserve">‘It is raining today; I am bored.’ (1932:41:1)</t>
  </si>
  <si>
    <t xml:space="preserve">[ayiˊl kaukauˊkit hēˊyilākc]                                         
          102) ayíl kawkáwkit hiilákc                                               
               a-yil     kawkaw-kit     hi-ilakc                                    
               this-day  rain-PROG(SG)  1SSTATS-be.bored/lazy                       
               ‘It is raining today; I am bored.’ (1932:41:1)</t>
  </si>
  <si>
    <t xml:space="preserve">[mpeˊtsta]</t>
  </si>
  <si>
    <t xml:space="preserve">n̥péct á</t>
  </si>
  <si>
    <t xml:space="preserve">n̥-pect        a</t>
  </si>
  <si>
    <t xml:space="preserve">2SSTATS-be.tired(sg) Q</t>
  </si>
  <si>
    <t xml:space="preserve">‘Are you tired?’ (1932:105:1)</t>
  </si>
  <si>
    <t xml:space="preserve">[mpeˊtsta]                                                           
          103) n̥péct á                                                             
               n̥-pect        a                                                     
               2SSTATS-be.tired(sg) Q                                               
               ‘Are you tired?’ (1932:105:1)</t>
  </si>
  <si>
    <t xml:space="preserve">[kuˊtsnă(n) nakēˊa]</t>
  </si>
  <si>
    <t xml:space="preserve">kúcnan nakké á</t>
  </si>
  <si>
    <t xml:space="preserve">kucnan    nak-ke         a</t>
  </si>
  <si>
    <t xml:space="preserve">knife     2PLSTATS-have  Q</t>
  </si>
  <si>
    <t xml:space="preserve">‘Do you all have a knife?’ (1932:63:1)</t>
  </si>
  <si>
    <t xml:space="preserve">[kuˊtsnă(n) nakēˊa]                                                  
          104) kúcnan nakké á                                                       
               kucnan    nak-ke         a                                           
               knife     2PLSTATS-have  Q                                           
               ‘Do you all have a knife?’ (1932:63:1)</t>
  </si>
  <si>
    <t xml:space="preserve">hál hiwáŋtikitháh</t>
  </si>
  <si>
    <t xml:space="preserve">[haˊl hiwaˊntikit haˊ]                                               
          106) hál hiwáŋtikitháh                                                    
               hal  hi-waŋ-tikit-hah                                                
               again 1SSTATS-walk-FUT-NEG                                           
               ‘I shall not walk again.’ (1932:141:1)</t>
  </si>
  <si>
    <t xml:space="preserve">[itiyiˊlc ihukit’ha]</t>
  </si>
  <si>
    <t xml:space="preserve">itiyílš hihúkitháh</t>
  </si>
  <si>
    <t xml:space="preserve">itiyilš hi-hu-kit-hah</t>
  </si>
  <si>
    <t xml:space="preserve">moon 1SSTATS-see-PROG(SG)-NEG</t>
  </si>
  <si>
    <t xml:space="preserve">‘I do not see the moon.’ (1932:156:1)</t>
  </si>
  <si>
    <t xml:space="preserve">[itiyiˊlc ihukit’ha]                                                 
          107) itiyílš hihúkitháh                                                   
               itiyilš hi-hu-kit-hah                                                
               moon 1SSTATS-see-PROG(SG)-NEG                                        
               ‘I do not see the moon.’ (1932:156:1)</t>
  </si>
  <si>
    <t xml:space="preserve">[Taneˊ-u cakinaˊ-uc koˊxcaˊhulat]</t>
  </si>
  <si>
    <t xml:space="preserve">tannéw šakináwškóhššáhulat</t>
  </si>
  <si>
    <t xml:space="preserve">tan-hew        šak-inawš-kohš-hah-ul-at</t>
  </si>
  <si>
    <t xml:space="preserve">other-PL       3PLOBJ-enter-DESID-NEG-3PLS-PRET</t>
  </si>
  <si>
    <t xml:space="preserve">‘They did not want other people to enter.’ (1932:18:117)</t>
  </si>
  <si>
    <t xml:space="preserve">[Taneˊ-u cakinaˊ-uc koˊxcaˊhulat]                                    
          108) tannéw šakináwškóhššáhulat                                           
               tan-hew        šak-inawš-kohš-hah-ul-at                              
               other-PL       3PLOBJ-enter-DESID-NEG-3PLS-PRET                      
               ‘They did not want other people to enter.’ (1932:18:117)</t>
  </si>
  <si>
    <t xml:space="preserve">[Iˊcak capiˊxk caklaˊwiulhahat]</t>
  </si>
  <si>
    <t xml:space="preserve">išà·k šappíhk šakláwiulháhat</t>
  </si>
  <si>
    <t xml:space="preserve">iša·k     šak-pihk-ø     šak-lawi-ul-hah-at</t>
  </si>
  <si>
    <t xml:space="preserve">person    PL-die(pl)-ABS 3PLOBJ-BURN-3PLS-NEG-PRET</t>
  </si>
  <si>
    <t xml:space="preserve">‘They did not burn the dead.’ (1932:19:140)</t>
  </si>
  <si>
    <t xml:space="preserve">[Iˊcak capiˊxk caklaˊwiulhahat]                                      
          109) išà·k šappíhk šakláwiulháhat                                         
               iša·k     šak-pihk-ø     šak-lawi-ul-hah-at                          
               person    PL-die(pl)-ABS 3PLOBJ-BURN-3PLS-NEG-PRET                   
               ‘They did not burn the dead.’ (1932:19:140)</t>
  </si>
  <si>
    <t xml:space="preserve">[wi kauˊkau ihāˊc]</t>
  </si>
  <si>
    <t xml:space="preserve">wi kawkáw hiháhš</t>
  </si>
  <si>
    <t xml:space="preserve">wi   kawkaw    hi-hahš</t>
  </si>
  <si>
    <t xml:space="preserve">I    water     1SSTATS-not.have</t>
  </si>
  <si>
    <t xml:space="preserve">‘I do not have water.’ (1932:58:1)</t>
  </si>
  <si>
    <t xml:space="preserve">[wi kauˊkau ihāˊc]                                                   
          111) wi kawkáw hiháhš                                                     
               wi   kawkaw    hi-hahš                                               
               I    water     1SSTATS-not.have                                      
               ‘I do not have water.’ (1932:58:1)</t>
  </si>
  <si>
    <t xml:space="preserve">[Caktaˊlko Yuk’hiˊti icaˊk kaˊ-u haˊtalkoˊat]</t>
  </si>
  <si>
    <t xml:space="preserve">šaktálkoh yukhíti išá·k káw ha tal kóhat</t>
  </si>
  <si>
    <t xml:space="preserve">šak-tal-koh     yukhiti  iša·k kaw ha   tal  ø-koh-at</t>
  </si>
  <si>
    <t xml:space="preserve">person-skin-wanter Indian person dead his skin 3STATS-want-PRET</t>
  </si>
  <si>
    <t xml:space="preserve">‘The Skin-desirer wanted the skin of a dead Indian. (1932:11:32)</t>
  </si>
  <si>
    <t xml:space="preserve">[Caktaˊlko Yuk’hiˊti icaˊk kaˊ-u haˊtalkoˊat]                        
          112) šaktálkoh yukhíti išá·k káw ha tal kóhat                             
               šak-tal-koh     yukhiti  iša·k kaw ha   tal  ø-koh-at                
               person-skin-wanter Indian person dead his skin 3STATS-want-PRET      
               ‘The Skin-desirer wanted the skin of a dead Indian. (1932:11:32)</t>
  </si>
  <si>
    <t xml:space="preserve">[wi hitēt hioˊknă oˊñc]</t>
  </si>
  <si>
    <t xml:space="preserve">wi ité·t hiókne óŋš</t>
  </si>
  <si>
    <t xml:space="preserve">wi   ite·t hi-ok-ne      ø-oŋš</t>
  </si>
  <si>
    <t xml:space="preserve">my   father 1SSTATS-come-GER 3STATS-not.want</t>
  </si>
  <si>
    <t xml:space="preserve">‘My father does not want me to come.’ (1932:43:1)</t>
  </si>
  <si>
    <t xml:space="preserve">[wi hitēt hioˊknă oˊñc]                                              
          113) wi ité·t hiókne óŋš                                                  
               wi   ite·t hi-ok-ne      ø-oŋš                                       
               my   father 1SSTATS-come-GER 3STATS-not.want                         
               ‘My father does not want me to come.’ (1932:43:1)</t>
  </si>
  <si>
    <t xml:space="preserve">[Cok heˊ-u cakwaˊnts uˊxtsăt]</t>
  </si>
  <si>
    <t xml:space="preserve">šokhéw šakwánc úhcat</t>
  </si>
  <si>
    <t xml:space="preserve">šok-hew   šak-wanc  ø-uhc-at</t>
  </si>
  <si>
    <t xml:space="preserve">thing-many 3PLO-tell 3STATS-be.able-PRET</t>
  </si>
  <si>
    <t xml:space="preserve">‘She was able to tell them many things.’ (1932:15:84)</t>
  </si>
  <si>
    <t xml:space="preserve">[Cok heˊ-u cakwaˊnts uˊxtsăt]                                        
          114) šokhéw šakwánc úhcat                                                 
               šok-hew   šak-wanc  ø-uhc-at                                         
               thing-many 3PLO-tell 3STATS-be.able-PRET                             
               ‘She was able to tell them many things.’ (1932:15:84)</t>
  </si>
  <si>
    <t xml:space="preserve">nimákóhš áwšulat</t>
  </si>
  <si>
    <t xml:space="preserve">nima-kohš ø-awš-ul-at</t>
  </si>
  <si>
    <t xml:space="preserve">kill-DESID 3STATS-not.be.able-3PLS-PRET</t>
  </si>
  <si>
    <t xml:space="preserve">‘They wanted to kill him and were not able to.’ (1932:91:2)</t>
  </si>
  <si>
    <t xml:space="preserve">115) nimákóhš áwšulat                                                     
               nima-kohš ø-awš-ul-at                                                
               kill-DESID 3STATS-not.be.able-3PLS-PRET                              
               ‘They wanted to kill him and were not able to.’ (1932:91:2)</t>
  </si>
  <si>
    <t xml:space="preserve">[coˊk co heˊ-ux̥ tsaˊ]</t>
  </si>
  <si>
    <t xml:space="preserve">šókšo hiùhccáh</t>
  </si>
  <si>
    <t xml:space="preserve">šokšo     hi-uhc-hah</t>
  </si>
  <si>
    <t xml:space="preserve">anything  1SSTATS-know-NEG</t>
  </si>
  <si>
    <t xml:space="preserve">‘I don’t know anything.’ (1932:138:2)</t>
  </si>
  <si>
    <t xml:space="preserve">[coˊk co heˊ-ux̥ tsaˊ]                                               
          116) šókšo hiùhccáh                                                       
               šokšo     hi-uhc-hah                                                 
               anything  1SSTATS-know-NEG                                           
               ‘I don’t know anything.’ (1932:138:2)</t>
  </si>
  <si>
    <t xml:space="preserve">{shiwán tsúm háχsh ntsá-ĕhĕ}</t>
  </si>
  <si>
    <t xml:space="preserve">šiwán cúmháhš n̥cáwehe</t>
  </si>
  <si>
    <t xml:space="preserve">šiwan cum-hahš-ø    n̥-ø-caw-ehe</t>
  </si>
  <si>
    <t xml:space="preserve">cat  pinch-NEG-2SIMP 2SOBJ-3STATS-bite-DUB</t>
  </si>
  <si>
    <t xml:space="preserve">‘Don’t pinch the cat, or she might bite you.’ (Gatschet 1885b:41)</t>
  </si>
  <si>
    <t xml:space="preserve">{shiwán tsúm háχsh ntsá-ĕhĕ}                                         
          117) šiwán cúmháhš n̥cáwehe                                               
               šiwan cum-hahš-ø    n̥-ø-caw-ehe                                     
               cat  pinch-NEG-2SIMP 2SOBJ-3STATS-bite-DUB                           
               ‘Don’t pinch the cat, or she might bite you.’ (Gatschet 1885b:41)</t>
  </si>
  <si>
    <t xml:space="preserve">{hál wáng háχshn ól ishtiwē ṓk}</t>
  </si>
  <si>
    <t xml:space="preserve">hál wáŋháhšn̥ ó·l ištiwé·ók</t>
  </si>
  <si>
    <t xml:space="preserve">hal       waŋ-hahš-n̥    o·l  iš-tiwe·-ok-ø</t>
  </si>
  <si>
    <t xml:space="preserve">behind    go.about-NEG-2SIMP near 1PLSTATS-be.with-come-2SIMP</t>
  </si>
  <si>
    <t xml:space="preserve">‘Do not walk behind; come near with us!’ (Gatschet 1885b:49)</t>
  </si>
  <si>
    <t xml:space="preserve">{hál wáng háχshn ól ishtiwē ṓk}                                     
          118) hál wáŋháhšn̥ ó·l ištiwé·ók                                          
               hal       waŋ-hahš-n̥    o·l  iš-tiwe·-ok-ø                          
               behind    go.about-NEG-2SIMP near 1PLSTATS-be.with-come-2SIMP        
               ‘Do not walk behind; come near with us!’ (Gatschet 1885b:49)</t>
  </si>
  <si>
    <t xml:space="preserve">[iˊuc haˊxcin]</t>
  </si>
  <si>
    <t xml:space="preserve">íwšháhšn̥</t>
  </si>
  <si>
    <t xml:space="preserve">iwš-hahš-n̥</t>
  </si>
  <si>
    <t xml:space="preserve">be.angry</t>
  </si>
  <si>
    <t xml:space="preserve">‘Don’t be angry!’ (1932:54:2)</t>
  </si>
  <si>
    <t xml:space="preserve">[iˊuc haˊxcin]                                                       
          119) íwšháhšn̥                                                            
               iwš-hahš-n̥                                                          
               be.angry                                                             
               ‘Don’t be angry!’ (1932:54:2)</t>
  </si>
  <si>
    <t xml:space="preserve">[Haˊ hilaˊ-i cok’hēˊc yaˊ kaˊ-u haˊnĕt]</t>
  </si>
  <si>
    <t xml:space="preserve">ha hiláy šoké·šya káwhánat</t>
  </si>
  <si>
    <t xml:space="preserve">ha   hilay šoke·š=ya ø-kaw-han-at</t>
  </si>
  <si>
    <t xml:space="preserve">his  wife be.sick=and 3STATS-die(sg)-ALMOST</t>
  </si>
  <si>
    <t xml:space="preserve">‘His wife was sick and almost died.’ (1932:13:54-55)</t>
  </si>
  <si>
    <t xml:space="preserve">[Haˊ hilaˊ-i cok’hēˊc yaˊ kaˊ-u haˊnĕt]                              
          120) ha hiláy šoké·šya káwhánat                                           
               ha   hilay šoke·š=ya ø-kaw-han-at                                    
               his  wife be.sick=and 3STATS-die(sg)-ALMOST                          
               ‘His wife was sick and almost died.’ (1932:13:54-55)</t>
  </si>
  <si>
    <t xml:space="preserve">[ekuˊn (aiˊkun) hatlacxaˊñco]</t>
  </si>
  <si>
    <t xml:space="preserve">eykún hatlašháŋšo</t>
  </si>
  <si>
    <t xml:space="preserve">eykun     hat-laš-haŋš-o</t>
  </si>
  <si>
    <t xml:space="preserve">just.now  REFLEX-shave-COMPL-1SS</t>
  </si>
  <si>
    <t xml:space="preserve">‘I am just now finished shaving.’ (Aorist) (1932:75:2)</t>
  </si>
  <si>
    <t xml:space="preserve">[ekuˊn (aiˊkun) hatlacxaˊñco]                                        
          122) eykún hatlašháŋšo                                                    
               eykun     hat-laš-haŋš-o                                             
               just.now  REFLEX-shave-COMPL-1SS                                     
               ‘I am just now finished shaving.’ (Aorist) (1932:75:2)</t>
  </si>
  <si>
    <t xml:space="preserve">[cukaˊ hāˊñctin imōˊculat]</t>
  </si>
  <si>
    <t xml:space="preserve">šoka·k-haŋš-ti-n              himo·š-ul-at</t>
  </si>
  <si>
    <t xml:space="preserve">ceremonial.dance-COMPL-PSTPROG-WHEN bury-3PLS-PRET</t>
  </si>
  <si>
    <t xml:space="preserve">‘When they had finished dancing, they buried him.’ (Subordinate) (1932:18:124-25)</t>
  </si>
  <si>
    <t xml:space="preserve">[cukaˊ hāˊñctin imōˊculat]                                           
          123) šoká·kháŋštin himó·šulat                                             
               šoka·k-haŋš-ti-n              himo·š-ul-at                           
               ceremonial.dance-COMPL-PSTPROG-WHEN bury-3PLS-PRET                   
               ‘When they had finished dancing, they buried him.’ (Subordinate) (1932:18:124-25)</t>
  </si>
  <si>
    <t xml:space="preserve">[hokināˊdc haˊñckit]</t>
  </si>
  <si>
    <t xml:space="preserve">hokinácháŋškit</t>
  </si>
  <si>
    <t xml:space="preserve">hok-ø-inac-haŋš-kit</t>
  </si>
  <si>
    <t xml:space="preserve">RECIP-3STATS-fight-COMPL-PROG</t>
  </si>
  <si>
    <t xml:space="preserve">‘They are completing fighting with each other. (Progressive) (1932:86:1)</t>
  </si>
  <si>
    <t xml:space="preserve">[hokināˊdc haˊñckit]                                                 
          124) hokinácháŋškit                                                       
               hok-ø-inac-haŋš-kit                                                  
               RECIP-3STATS-fight-COMPL-PROG                                        
               ‘They are completing fighting with each other. (Progressive) (1932:86:1)</t>
  </si>
  <si>
    <t xml:space="preserve">[Pa-i aˊkc tiˊc koˊhat]</t>
  </si>
  <si>
    <t xml:space="preserve">payákš tíškóhat</t>
  </si>
  <si>
    <t xml:space="preserve">payakš    ø-tiš-koh-at</t>
  </si>
  <si>
    <t xml:space="preserve">back      3STATS-go-DESID-PRET</t>
  </si>
  <si>
    <t xml:space="preserve">‘She wanted to go back.’ (1932:17:110)</t>
  </si>
  <si>
    <t xml:space="preserve">[Pa-i aˊkc tiˊc koˊhat]                                              
          126) payákš tíškóhat                                                      
               payakš    ø-tiš-koh-at                                               
               back      3STATS-go-DESID-PRET                                       
               ‘She wanted to go back.’ (1932:17:110)</t>
  </si>
  <si>
    <t xml:space="preserve">kiš mókatya yó·lat; kicá·k káwya wáŋšakpámkóhya šakhéwš</t>
  </si>
  <si>
    <t xml:space="preserve">kiš       ø-mok-at=ya         ø-yo·l-at                kica·k</t>
  </si>
  <si>
    <t xml:space="preserve">woman     3STATS-be.short-PRET=and 3STATS-be.ill.tempered-PRET whiskey</t>
  </si>
  <si>
    <t xml:space="preserve">ø-kaw=ya       ø-waŋ-šak-pam-koh=ya               šak-hewš</t>
  </si>
  <si>
    <t xml:space="preserve">3STATS-die(sg)=and 3STATS-go.about-3PLOBJ-beat-DESID=and 3PLOBJ-curse</t>
  </si>
  <si>
    <t xml:space="preserve">‘She was a short woman and an ill-tempered one; she got drunk and wanted to go about beating people and cursing them.’ (1932:15:78-80)</t>
  </si>
  <si>
    <t xml:space="preserve">127) kiš mókatya yó·lat; kicá·k káwya wáŋšakpámkóhya šakhéwš              
               kiš       ø-mok-at=ya         ø-yo·l-at                kica·k        
               woman     3STATS-be.short-PRET=and 3STATS-be.ill.tempered-PRET       
               whiskey                                                              
               ø-kaw=ya       ø-waŋ-šak-pam-koh=ya               šak-hewš           
               3STATS-die(sg)=and 3STATS-go.about-3PLOBJ-beat-DESID=and 3PLOBJ-curse
               ‘She was a short woman and an ill-tempered one; she got drunk and wanted to
               go about beating people and cursing them.’ (1932:15:78-80)</t>
  </si>
  <si>
    <t xml:space="preserve">tannéw šakináwškóhšáhulat</t>
  </si>
  <si>
    <t xml:space="preserve">other-PL       3STATS-enter-DESID-NEG-3PLS-PRET</t>
  </si>
  <si>
    <t xml:space="preserve">[Taneˊ-u cakinaˊ-uc koˊxcaˊhulat]                                    
          128) tannéw šakináwškóhšáhulat                                            
               tan-hew        šak-inawš-kohš-hah-ul-at                              
               other-PL       3STATS-enter-DESID-NEG-3PLS-PRET                      
               ‘They did not want other people to enter.’ (1932:18:117)</t>
  </si>
  <si>
    <t xml:space="preserve">[wi nuˊñ uˊt paˊi hitiˊc ko]</t>
  </si>
  <si>
    <t xml:space="preserve">wi núŋut payhitíškóh</t>
  </si>
  <si>
    <t xml:space="preserve">wi   nuŋ-ut    pay-hi-tiš-koh</t>
  </si>
  <si>
    <t xml:space="preserve">my   village-DIR back-1SSTATS-go-DESID</t>
  </si>
  <si>
    <t xml:space="preserve">‘I want to go back to my village.’ (1932:94:2)</t>
  </si>
  <si>
    <t xml:space="preserve">[wi nuˊñ uˊt paˊi hitiˊc ko]                                         
          129) wi núŋut payhitíškóh                                                 
               wi   nuŋ-ut    pay-hi-tiš-koh                                        
               my   village-DIR back-1SSTATS-go-DESID                               
               ‘I want to go back to my village.’ (1932:94:2)</t>
  </si>
  <si>
    <t xml:space="preserve">[hikuˊ wi nuˊk tiˊk iˊka koˊ]</t>
  </si>
  <si>
    <t xml:space="preserve">[hikuˊ wi nuˊk tiˊk iˊka koˊ]                                        
          130) hikú wi núk tikhikàkóh                                               
               hiku wi   nuk  tik-hi-ka-koh                                         
               soup I    self go.and-1SSTATS-make-DESID                             
               ‘I myself want to go and make soup.’ (1932:41:1)</t>
  </si>
  <si>
    <t xml:space="preserve">[hin cokiaˊx koˊxca]</t>
  </si>
  <si>
    <t xml:space="preserve">nšokyáhkóhš á</t>
  </si>
  <si>
    <t xml:space="preserve">n-šok-yah-kohš      a</t>
  </si>
  <si>
    <t xml:space="preserve">2SSTATS-STH-eat-DESID Q</t>
  </si>
  <si>
    <t xml:space="preserve">‘Do you want to eat something?’ (1932:152:1)</t>
  </si>
  <si>
    <t xml:space="preserve">[hin cokiaˊx koˊxca]                                                 
          131) nšokyáhkóhš á                                                        
               n-šok-yah-kohš      a                                                
               2SSTATS-STH-eat-DESID Q                                              
               ‘Do you want to eat something?’ (1932:152:1)</t>
  </si>
  <si>
    <t xml:space="preserve">{hin shokiáχ kóχsh hā́χsh &lt;a&gt;}</t>
  </si>
  <si>
    <t xml:space="preserve">nšokyáhkóhšháhš á</t>
  </si>
  <si>
    <t xml:space="preserve">n-šokyah-kohš-hahš  a</t>
  </si>
  <si>
    <t xml:space="preserve">2SSTATS-eat-DESID-NEG Q</t>
  </si>
  <si>
    <t xml:space="preserve">‘Don’t you want to eat?’ (Gatschet, 1885b:64)</t>
  </si>
  <si>
    <t xml:space="preserve">{hin shokiáχ kóχsh hā́χsh &lt;a&gt;}                                       
          132) nšokyáhkóhšháhš á                                                    
               n-šokyah-kohš-hahš  a                                                
               2SSTATS-eat-DESID-NEG Q                                              
               ‘Don’t you want to eat?’ (Gatschet, 1885b:64)</t>
  </si>
  <si>
    <t xml:space="preserve">[kuˊlke hokteweˊ toˊxntsȏl]</t>
  </si>
  <si>
    <t xml:space="preserve">kúlke hoktiwé·tóhn̥ccel</t>
  </si>
  <si>
    <t xml:space="preserve">kúlke     hok-tiwe·-toh-n̥t-cel</t>
  </si>
  <si>
    <t xml:space="preserve">always    RECIP-be.with-live(pl)-CONTIN-1PLS</t>
  </si>
  <si>
    <t xml:space="preserve">‘We have always lived with one another.’ (1932:133:2)</t>
  </si>
  <si>
    <t xml:space="preserve">[kuˊlke hokteweˊ toˊxntsȏl]                                          
          133) kúlke hoktiwé·tóhn̥ccel                                              
               kúlke     hok-tiwe·-toh-n̥t-cel                                      
               always    RECIP-be.with-live(pl)-CONTIN-1PLS                         
               ‘We have always lived with one another.’ (1932:133:2)</t>
  </si>
  <si>
    <t xml:space="preserve">tawhokwálšn̥tcel</t>
  </si>
  <si>
    <t xml:space="preserve">taw-hok-walš-n̥t-cel</t>
  </si>
  <si>
    <t xml:space="preserve">STAND-RECIP-fan-CONTIN-1PLS</t>
  </si>
  <si>
    <t xml:space="preserve">‘We are continuing to fan each other standing.’ (1932:141:1)</t>
  </si>
  <si>
    <t xml:space="preserve">134) tawhokwálšn̥tcel                                                     
               taw-hok-walš-n̥t-cel                                                 
               STAND-RECIP-fan-CONTIN-1PLS                                          
               ‘We are continuing to fan each other standing.’ (1932:141:1)</t>
  </si>
  <si>
    <t xml:space="preserve">[kaukaˊ-u aˊm’n aˊnike ntaˊhĕntat]</t>
  </si>
  <si>
    <t xml:space="preserve">kawkáw ámn̥ ánike n̥táhn̥ tat</t>
  </si>
  <si>
    <t xml:space="preserve">kawkaw    ø-am-n̥        an-ike    n̥tah-n̥t-at</t>
  </si>
  <si>
    <t xml:space="preserve">water     3STATS-drink-WHEN ear-ELL come.out-CONTIN-PRET</t>
  </si>
  <si>
    <t xml:space="preserve">‘When he drank water, it kept on coming out of his ears. (1932:10:19-20)</t>
  </si>
  <si>
    <t xml:space="preserve">[kaukaˊ-u aˊm’n aˊnike ntaˊhĕntat]                                   
          135) kawkáw ámn̥ ánike n̥táhn̥ tat                                        
               kawkaw    ø-am-n̥        an-ike    n̥tah-n̥t-at                      
               water     3STATS-drink-WHEN ear-ELL come.out-CONTIN-PRET             
               ‘When he drank water, it kept on coming out of his ears. (1932:10:19-20)</t>
  </si>
  <si>
    <t xml:space="preserve">[Yaˊñ kēˊtntat yukiˊts tuˊl ma inoˊ-i icitsyuˊtskin]</t>
  </si>
  <si>
    <t xml:space="preserve">iyáŋ ké·tn̥tat yukíts túl maynóy išicyúckin</t>
  </si>
  <si>
    <t xml:space="preserve">iyaŋ ø-ke·t-n̥t-at       yukit-š   tul  maynoy</t>
  </si>
  <si>
    <t xml:space="preserve">there 3STATS-dwell-CONTIN-PRET we-FOC lake other.side</t>
  </si>
  <si>
    <t xml:space="preserve">iš-icyuc-kin</t>
  </si>
  <si>
    <t xml:space="preserve">1PLSTATS-grow.up-WHEN</t>
  </si>
  <si>
    <t xml:space="preserve">‘There she used to dwell while we grew up on the other side of the lake.’ (1932:14:72-73)</t>
  </si>
  <si>
    <t xml:space="preserve">[Yaˊñ kēˊtntat yukiˊts tuˊl ma inoˊ-i icitsyuˊtskin]                 
          136) iyáŋ ké·tn̥tat yukíts túl maynóy išicyúckin                          
               iyaŋ ø-ke·t-n̥t-at       yukit-š   tul  maynoy                       
               there 3STATS-dwell-CONTIN-PRET we-FOC lake other.side                
               iš-icyuc-kin                                                         
               1PLSTATS-grow.up-WHEN                                                
               ‘There she used to dwell while we grew up on the other side of the lake.’ (1932:14:72-73)</t>
  </si>
  <si>
    <t xml:space="preserve">[keˊucux̥ kinto naˊkc ke-uciuˊlkinto]</t>
  </si>
  <si>
    <t xml:space="preserve">kewƛúkškinto ná·kš kewyúlškinto</t>
  </si>
  <si>
    <t xml:space="preserve">kew-ƛukš-ki-nt-o·             na-ik-iš</t>
  </si>
  <si>
    <t xml:space="preserve">SIT-smoke.tobacco-FC-CONTIN-PHR:TERM you(sg)-ERG.AGNT-FOC</t>
  </si>
  <si>
    <t xml:space="preserve">kew-yulš-ki-nt-o·</t>
  </si>
  <si>
    <t xml:space="preserve">SIT-write-FC-CONTIN-PHR.TERM</t>
  </si>
  <si>
    <t xml:space="preserve">‘I will sit and smoke. You will sit and write.’ (1932:159:1)</t>
  </si>
  <si>
    <t xml:space="preserve">[keˊucux̥ kinto naˊkc ke-uciuˊlkinto]                                
          139) kewƛúkškinto ná·kš kewyúlškinto                                      
               kew-ƛukš-ki-nt-o·             na-ik-iš                               
               SIT-smoke.tobacco-FC-CONTIN-PHR:TERM you(sg)-ERG.AGNT-FOC            
               kew-yulš-ki-nt-o·                                                    
               SIT-write-FC-CONTIN-PHR.TERM                                         
               ‘I will sit and smoke. You will sit and write.’ (1932:159:1)</t>
  </si>
  <si>
    <t xml:space="preserve">[wi noˊmc tsīk cakitsyutsickinto]</t>
  </si>
  <si>
    <t xml:space="preserve">wi nómš cí·k šakicyúciškin̥ to</t>
  </si>
  <si>
    <t xml:space="preserve">wi   nomš ci·k šak-icyuc-iš-ki-n̥t-o·</t>
  </si>
  <si>
    <t xml:space="preserve">my   child two 3PLO-raise-CAUS-FC-CONTIN-PHR.TERM</t>
  </si>
  <si>
    <t xml:space="preserve">‘I am in the process of raising my two children.’ (1932:93:1)</t>
  </si>
  <si>
    <t xml:space="preserve">[wi noˊmc tsīk cakitsyutsickinto]                                    
          140) wi nómš cí·k šakicyúciškin̥ to                                       
               wi   nomš ci·k šak-icyuc-iš-ki-n̥t-o·                                
               my   child two 3PLO-raise-CAUS-FC-CONTIN-PHR.TERM                    
               ‘I am in the process of raising my two children.’ (1932:93:1)</t>
  </si>
  <si>
    <t xml:space="preserve">[wic caˊ ot keˊ-u cakiuˊlckinto]</t>
  </si>
  <si>
    <t xml:space="preserve">wí·š šáot kewšakyúlškin̥ to</t>
  </si>
  <si>
    <t xml:space="preserve">wi-iš ša-ot         kew-šak-yulš-ki-n̥ t-o·</t>
  </si>
  <si>
    <t xml:space="preserve">I-FOC someone-DIR   SIT-3PLO-write-FC-CONTIN-PHR.TERM</t>
  </si>
  <si>
    <t xml:space="preserve">‘I am going to be sitting and writing things for someone.’ (1932:160:1)</t>
  </si>
  <si>
    <t xml:space="preserve">[wic caˊ ot keˊ-u cakiuˊlckinto]                                     
          141) wí·š šáot kewšakyúlškin̥ to                                          
               wi-iš ša-ot         kew-šak-yulš-ki-n̥ t-o·                          
               I-FOC someone-DIR   SIT-3PLO-write-FC-CONTIN-PHR.TERM                
               ‘I am going to be sitting and writing things for someone.’ (1932:160:1)</t>
  </si>
  <si>
    <t xml:space="preserve">[tuˊl ōˊci nūˊn nultiˊhinst]</t>
  </si>
  <si>
    <t xml:space="preserve">túl o·ši nuŋnúltíhin̥st</t>
  </si>
  <si>
    <t xml:space="preserve">tul  o·ši      nuŋ-nul-tihi-n̥st</t>
  </si>
  <si>
    <t xml:space="preserve">lake edge.of   village-dwell(pl)-PST.PROG-CUSTOM</t>
  </si>
  <si>
    <t xml:space="preserve">‘They customarily lived in villages on the edges of the lakes.’ (1932:9:2-3)</t>
  </si>
  <si>
    <t xml:space="preserve">[tuˊl ōˊci nūˊn nultiˊhinst]                                         
          142) túl o·ši nuŋnúltíhin̥st                                              
               tul  o·ši      nuŋ-nul-tihi-n̥st                                     
               lake edge.of   village-dwell(pl)-PST.PROG-CUSTOM                     
               ‘They customarily lived in villages on the edges of the lakes.’ (1932:9:2-3)</t>
  </si>
  <si>
    <t xml:space="preserve">[nec hicoˊmckin yuk’hiˊti tulip lōˊx̥ kin iwāˊt’n hūˊnst]</t>
  </si>
  <si>
    <t xml:space="preserve">neš hišómškin yukhíti túlip lókkin iwá·tn húnst</t>
  </si>
  <si>
    <t xml:space="preserve">neš  hišomš-kin yukhiti  tul-ip    lok-kin   iwa·t-n̥</t>
  </si>
  <si>
    <t xml:space="preserve">tree small-LOC Indian    lake-INESS prairie-LOC move.hither-WHEN</t>
  </si>
  <si>
    <t xml:space="preserve">hu-n̥št</t>
  </si>
  <si>
    <t xml:space="preserve">see-CUSTOM</t>
  </si>
  <si>
    <t xml:space="preserve">‘They customarily see it (the Skin-Desirer) in the brush around Lake Prien (Indian Lake), when it moves towards them in the prairie.’ (1932:11:35)</t>
  </si>
  <si>
    <t xml:space="preserve">[nec hicoˊmckin yuk’hiˊti tulip lōˊx̥ kin iwāˊt’n hūˊnst]            
          143) neš hišómškin yukhíti túlip lókkin iwá·tn húnst                      
               neš  hišomš-kin yukhiti  tul-ip    lok-kin   iwa·t-n̥                
               tree small-LOC Indian    lake-INESS prairie-LOC move.hither-WHEN     
               hu-n̥št                                                              
               see-CUSTOM                                                           
               ‘They customarily see it (the Skin-Desirer) in the brush around Lake Prien (Indian
               Lake), when it moves towards them in the prairie.’ (1932:11:35)</t>
  </si>
  <si>
    <t xml:space="preserve">[Hukēˊt hakīˊt uˊts cakitoˊlcĕnst aˊn cakitoˊlcĕnst ahenaˊka uˊts cakiwiˊlĕnst]</t>
  </si>
  <si>
    <t xml:space="preserve">oké·t hakít úc šakitólšn̥st án šakitóln̥st ahinákka úc šakiwíln̥st</t>
  </si>
  <si>
    <t xml:space="preserve">oke·t hakit uc šak-itolš-n̥št      an   šak-itolš-n̥št</t>
  </si>
  <si>
    <t xml:space="preserve">mother their nose 3PLO-arrange-CUSTOM ear 3PLO-arrange-CUSTOM</t>
  </si>
  <si>
    <t xml:space="preserve">ahinakka  uc   šak-iwil-n̥št</t>
  </si>
  <si>
    <t xml:space="preserve">how       nose 3PLO-put.in.order-CUSTOM</t>
  </si>
  <si>
    <t xml:space="preserve">‘The mothers customarily arranged their noses, and they arranged their ears how they customarily put the noses in order.’ (1932:12:38-39)</t>
  </si>
  <si>
    <t xml:space="preserve">[Hukēˊt hakīˊt uˊts cakitoˊlcĕnst aˊn cakitoˊlcĕnst ahenaˊka uˊts cakiwiˊlĕnst]
          144) oké·t hakít úc šakitólšn̥st án šakitóln̥st ahinákka úc šakiwíln̥st   
               oke·t hakit uc šak-itolš-n̥št      an   šak-itolš-n̥št               
               mother their nose 3PLO-arrange-CUSTOM ear 3PLO-arrange-CUSTOM        
               ahinakka  uc   šak-iwil-n̥št                                         
               how       nose 3PLO-put.in.order-CUSTOM                              
               ‘The mothers customarily arranged their noses, and they arranged their ears how
               they customarily put the noses in order.’ (1932:12:38-39)</t>
  </si>
  <si>
    <t xml:space="preserve">móyu kimá·t còhoc konán ólo·l híhulat yáhins (K) / yáhinso (T)</t>
  </si>
  <si>
    <t xml:space="preserve">moyu      kima·t    cohoc     konan ol,ol    hiš-ul-at</t>
  </si>
  <si>
    <t xml:space="preserve">pumpkin   beans     maize     potato REDUP,sweet plant-3PLS-PRET</t>
  </si>
  <si>
    <t xml:space="preserve">ø-yah-ins-o·</t>
  </si>
  <si>
    <t xml:space="preserve">3S-eat-HABIT-PHR.TERM</t>
  </si>
  <si>
    <t xml:space="preserve">‘They plant and habitually eat pumpkins, beans, maize, and sweet potatoes.’ (1932:9:4-5)</t>
  </si>
  <si>
    <t xml:space="preserve">146) móyu kimá·t còhoc konán ólo·l híhulat yáhins (K) / yáhinso (T)       
               moyu      kima·t    cohoc     konan ol,ol    hiš-ul-at               
               pumpkin   beans     maize     potato REDUP,sweet plant-3PLS-PRET     
               ø-yah-ins-o·                                                         
               3S-eat-HABIT-PHR.TERM                                                
               ‘They plant and habitually eat pumpkins, beans, maize, and sweet potatoes.’ (1932:9:4-5)</t>
  </si>
  <si>
    <t xml:space="preserve">{yukít ish yá-insho}</t>
  </si>
  <si>
    <t xml:space="preserve">yukít išyáhinšo</t>
  </si>
  <si>
    <t xml:space="preserve">yukít iš-yáh-inš-o·</t>
  </si>
  <si>
    <t xml:space="preserve">we   1plstats-eat-HABIT-PHR.TERM</t>
  </si>
  <si>
    <t xml:space="preserve">‘We habitually eat it.’ (Gatschet, 1885c:[7])</t>
  </si>
  <si>
    <t xml:space="preserve">{yukít ish yá-insho}                                                 
          147) yukít išyáhinšo                                                      
               yukít iš-yáh-inš-o·                                                  
               we   1plstats-eat-HABIT-PHR.TERM                                     
               ‘We habitually eat it.’ (Gatschet, 1885c:[7])</t>
  </si>
  <si>
    <t xml:space="preserve">{nakit nak yá-insh}</t>
  </si>
  <si>
    <t xml:space="preserve">nakít nakyáhinš</t>
  </si>
  <si>
    <t xml:space="preserve">nakít     nak-yáh-inš</t>
  </si>
  <si>
    <t xml:space="preserve">you(pl)   2PLSTATS-eat-HABIT</t>
  </si>
  <si>
    <t xml:space="preserve">‘You all habitually eat it.’ (Gatschet, 1885c:[7])</t>
  </si>
  <si>
    <t xml:space="preserve">{nakit nak yá-insh}                                                  
          148) nakít nakyáhinš                                                      
               nakít     nak-yáh-inš                                                
               you(pl)   2PLSTATS-eat-HABIT                                         
               ‘You all habitually eat it.’ (Gatschet, 1885c:[7])</t>
  </si>
  <si>
    <t xml:space="preserve">[wi hicoxkoˊ-ins iluˊ nit]</t>
  </si>
  <si>
    <t xml:space="preserve">wí hišokóyins ilú ní·t</t>
  </si>
  <si>
    <t xml:space="preserve">wi   hi-šokoy-inš        ilu  ni·t</t>
  </si>
  <si>
    <t xml:space="preserve">I    1SSTATS-be.chief.-HABIT year five</t>
  </si>
  <si>
    <t xml:space="preserve">‘I have been a chief for five years.’ (1932:69:2)</t>
  </si>
  <si>
    <t xml:space="preserve">[wi hicoxkoˊ-ins iluˊ nit]                                           
          149) wí hišokóyins ilú ní·t                                               
               wi   hi-šokoy-inš        ilu  ni·t                                   
               I    1SSTATS-be.chief.-HABIT year five                               
               ‘I have been a chief for five years.’ (1932:69:2)</t>
  </si>
  <si>
    <t xml:space="preserve">[Tik’huˊ koˊhat kaˊ-u hāˊxc taˊn, tiˊc aˊ-ucat]</t>
  </si>
  <si>
    <t xml:space="preserve">tikhúkóhat káwháhštán tíš áwšat</t>
  </si>
  <si>
    <t xml:space="preserve">tik-ø-hu-koh-at          ø-kaw-hahš-tan tiš</t>
  </si>
  <si>
    <t xml:space="preserve">GO.AND-3STATS-see-DESID-PRET 3STATS-die-NEG-YET go</t>
  </si>
  <si>
    <t xml:space="preserve">ø-awš-at</t>
  </si>
  <si>
    <t xml:space="preserve">3STATS-not.be.able-PRET</t>
  </si>
  <si>
    <t xml:space="preserve">‘She wanted to go and see him before he died, but she was unable to go.’ (1932:17:105-06)</t>
  </si>
  <si>
    <t xml:space="preserve">[Tik’huˊ koˊhat kaˊ-u hāˊxc taˊn, tiˊc aˊ-ucat]                      
          150) tikhúkóhat káwháhštán tíš áwšat                                      
               tik-ø-hu-koh-at          ø-kaw-hahš-tan tiš                          
               GO.AND-3STATS-see-DESID-PRET 3STATS-die-NEG-YET go                   
               ø-awš-at                                                             
               3STATS-not.be.able-PRET                                              
               ‘She wanted to go and see him before he died, but she was unable to go.’
               (1932:17:105-06)</t>
  </si>
  <si>
    <t xml:space="preserve">kelakwác káwš makáwháhštán</t>
  </si>
  <si>
    <t xml:space="preserve">kelakwac  kawš      ø-makaw-hahš-tan</t>
  </si>
  <si>
    <t xml:space="preserve">bottle    stopper   3STATS-fall(sg)-NEG-YET</t>
  </si>
  <si>
    <t xml:space="preserve">‘before the bottle stopper falls in’ (1932:78:2)</t>
  </si>
  <si>
    <t xml:space="preserve">151) kelakwác káwš makáwháhštán                                           
               kelakwac  kawš      ø-makaw-hahš-tan                                 
               bottle    stopper   3STATS-fall(sg)-NEG-YET                          
               ‘before the bottle stopper falls in’ (1932:78:2)</t>
  </si>
  <si>
    <t xml:space="preserve">[hokinaˊdsul haˊx̥ ctan]</t>
  </si>
  <si>
    <t xml:space="preserve">hokináculháhštán</t>
  </si>
  <si>
    <t xml:space="preserve">hok-inac-ul-hahš-tan</t>
  </si>
  <si>
    <t xml:space="preserve">RECIP-fight-3PLS-NEG-YET</t>
  </si>
  <si>
    <t xml:space="preserve">‘before they fight’ (1932:86:1)</t>
  </si>
  <si>
    <t xml:space="preserve">[hokinaˊdsul haˊx̥ ctan]                                             
          152) hokináculháhštán                                                     
               hok-inac-ul-hahš-tan                                                 
               RECIP-fight-3PLS-NEG-YET                                             
               ‘before they fight’ (1932:86:1)</t>
  </si>
  <si>
    <t xml:space="preserve">[tsuˊmc haˊx̥ cta]</t>
  </si>
  <si>
    <t xml:space="preserve">cúmšháhštán</t>
  </si>
  <si>
    <t xml:space="preserve">cumš-ø-hahš-tan</t>
  </si>
  <si>
    <t xml:space="preserve">pinch-3S-NEG-YET</t>
  </si>
  <si>
    <t xml:space="preserve">‘before he pinches him’ (1932:34:2)</t>
  </si>
  <si>
    <t xml:space="preserve">[tsuˊmc haˊx̥ cta]                                                   
          153) cúmšháhštán                                                          
               cumš-ø-hahš-tan                                                      
               pinch-3S-NEG-YET                                                     
               ‘before he pinches him’ (1932:34:2)</t>
  </si>
  <si>
    <t xml:space="preserve">[tuˊl ōˊci nūn nultiˊhinst]</t>
  </si>
  <si>
    <t xml:space="preserve">túl ó·ši nuŋnúltíhin̥st</t>
  </si>
  <si>
    <t xml:space="preserve">tul  o·ši      nuŋ-nul-tihi-̥nst</t>
  </si>
  <si>
    <t xml:space="preserve">lake edge.of   village-live-PST.PROG-CUSTOM</t>
  </si>
  <si>
    <t xml:space="preserve">‘They customarily lived in villages on the edges of the lakes.’ (1932:9:1-2)</t>
  </si>
  <si>
    <t xml:space="preserve">[tuˊl ōˊci nūn nultiˊhinst]                                          
          155) túl ó·ši nuŋnúltíhin̥st                                              
               tul  o·ši      nuŋ-nul-tihi-̥nst                                     
               lake edge.of   village-live-PST.PROG-CUSTOM                          
               ‘They customarily lived in villages on the edges of the lakes.’ (1932:9:1-2)</t>
  </si>
  <si>
    <t xml:space="preserve">[Hatiuˊlco ‘n‘oˊhik]</t>
  </si>
  <si>
    <t xml:space="preserve">hatyúlšo n̥hóhik</t>
  </si>
  <si>
    <t xml:space="preserve">hat-yulš-ø-o·       n̥hoh-ik</t>
  </si>
  <si>
    <t xml:space="preserve">REFLEX-mark-3S-PHR.TERM face.paint-ERG.INSTR</t>
  </si>
  <si>
    <t xml:space="preserve">‘They mark themselves with face paint. (1932:10:24)</t>
  </si>
  <si>
    <t xml:space="preserve">[Hatiuˊlco ‘n‘oˊhik]                                                 
          157) hatyúlšo n̥hóhik                                                     
               hat-yulš-ø-o·       n̥hoh-ik                                         
               REFLEX-mark-3S-PHR.TERM face.paint-ERG.INSTR                         
               ‘They mark themselves with face paint. (1932:10:24)</t>
  </si>
  <si>
    <t xml:space="preserve">[cakatkoˊpcĕn hatmēˊlco]</t>
  </si>
  <si>
    <t xml:space="preserve">šakhatkópšn̥ hatmé·lšo</t>
  </si>
  <si>
    <t xml:space="preserve">šak-hat-kop-š-n̥              hat-me·l-š-ø-o·</t>
  </si>
  <si>
    <t xml:space="preserve">3PLSTATS-REFLEX-be.white-CAUS-WHEN REFLEX-be.black-CAUS-3S-PHR.TERM</t>
  </si>
  <si>
    <t xml:space="preserve">‘When they paint themselves white, they paint themselves black.’ (1932:10:24-25)</t>
  </si>
  <si>
    <t xml:space="preserve">[cakatkoˊpcĕn hatmēˊlco]                                             
          158) šakhatkópšn̥ hatmé·lšo                                               
               šak-hat-kop-š-n̥              hat-me·l-š-ø-o·                        
               3PLSTATS-REFLEX-be.white-CAUS-WHEN REFLEX-be.black-CAUS-3S-PHR.TERM  
               ‘When they paint themselves white, they paint themselves black.’ (1932:10:24-25)</t>
  </si>
  <si>
    <t xml:space="preserve">[hakīt icaˊk kaˊ-u hatmēˊlco]</t>
  </si>
  <si>
    <t xml:space="preserve">hakít iša·k káw[ot] hatmé·lšo</t>
  </si>
  <si>
    <t xml:space="preserve">hakit iša·k    kaw-ot    hat-me·l-š-ø-o·</t>
  </si>
  <si>
    <t xml:space="preserve">their person   dead-DIR  REFLEX-be.black-CAUS-3S-PHR.TERM</t>
  </si>
  <si>
    <t xml:space="preserve">‘They paint themselves black for their dead relative.’ (1932:10:25)</t>
  </si>
  <si>
    <t xml:space="preserve">[hakīt icaˊk kaˊ-u hatmēˊlco]                                        
          159) hakít iša·k káw[ot] hatmé·lšo                                        
               hakit iša·k    kaw-ot    hat-me·l-š-ø-o·                             
               their person   dead-DIR  REFLEX-be.black-CAUS-3S-PHR.TERM            
               ‘They paint themselves black for their dead relative.’ (1932:10:25)</t>
  </si>
  <si>
    <t xml:space="preserve">[haˊik himico]</t>
  </si>
  <si>
    <t xml:space="preserve">háik himíšo</t>
  </si>
  <si>
    <t xml:space="preserve">ha-ik          hi-miš-ø-o·</t>
  </si>
  <si>
    <t xml:space="preserve">s/he-ERG.AGNT  1SO-give-3S-PHR.TERM</t>
  </si>
  <si>
    <t xml:space="preserve">‘He gives it to me.’ (1932:80:2)</t>
  </si>
  <si>
    <t xml:space="preserve">[haˊik himico]                                                       
          160) háik himíšo                                                          
               ha-ik          hi-miš-ø-o·                                           
               s/he-ERG.AGNT  1SO-give-3S-PHR.TERM                                  
               ‘He gives it to me.’ (1932:80:2)</t>
  </si>
  <si>
    <t xml:space="preserve">[wi uˊts hatsaˊkco]</t>
  </si>
  <si>
    <t xml:space="preserve">wi úc haccákšo</t>
  </si>
  <si>
    <t xml:space="preserve">wi   uc   hat-cakš-o</t>
  </si>
  <si>
    <t xml:space="preserve">my   nose REFLEX-dry-1SS</t>
  </si>
  <si>
    <t xml:space="preserve">‘I wipe my nose.’ (1932:139:2)</t>
  </si>
  <si>
    <t xml:space="preserve">[wi uˊts hatsaˊkco]                                                  
          161) wi úc haccákšo                                                       
               wi   uc   hat-cakš-o                                                 
               my   nose REFLEX-dry-1SS                                             
               ‘I wipe my nose.’ (1932:139:2)</t>
  </si>
  <si>
    <t xml:space="preserve">[ekuˊn (aiˊkun) hatlacxaˊñco]                                        
          163) eykún hatlašháŋšo                                                    
               eykun     hat-laš-haŋš-o                                             
               just.now  REFLEX-shave-COMPL-1SS                                     
               ‘I am just now finished shaving.’ (Aorist) (1932:75:2)</t>
  </si>
  <si>
    <t xml:space="preserve">[Yukiˊti o-inaˊka (h)atitōˊlc haˊhat]</t>
  </si>
  <si>
    <t xml:space="preserve">yukhíti ahinákka hatitólšháhat</t>
  </si>
  <si>
    <t xml:space="preserve">yukhiti   ahinakka  hat-ø-itolš-hah-at</t>
  </si>
  <si>
    <t xml:space="preserve">Indian    like      REFLEX-3STATS-dress-NEG-PRET</t>
  </si>
  <si>
    <t xml:space="preserve">‘She did not dress herself like an Indian.’ (1932:15:77)</t>
  </si>
  <si>
    <t xml:space="preserve">[Yukiˊti o-inaˊka (h)atitōˊlc haˊhat]                                
          164) yukhíti ahinákka hatitólšháhat                                       
               yukhiti   ahinakka  hat-ø-itolš-hah-at                               
               Indian    like      REFLEX-3STATS-dress-NEG-PRET                     
               ‘She did not dress herself like an Indian.’ (1932:15:77)</t>
  </si>
  <si>
    <t xml:space="preserve">[tolhoˊpcik hiatkaˊucat]</t>
  </si>
  <si>
    <t xml:space="preserve">tolhópšik hihatkáwšat</t>
  </si>
  <si>
    <t xml:space="preserve">tolhopš-ik     hi-hat-kawš-at</t>
  </si>
  <si>
    <t xml:space="preserve">needle-ERG.INSTR 1SSTATS-REFLEX-prick-PRET</t>
  </si>
  <si>
    <t xml:space="preserve">‘I pricked myself with a needle.’ (1932:134:2)</t>
  </si>
  <si>
    <t xml:space="preserve">[tolhoˊpcik hiatkaˊucat]                                             
          165) tolhópšik hihatkáwšat                                                
               tolhopš-ik     hi-hat-kawš-at                                        
               needle-ERG.INSTR 1SSTATS-REFLEX-prick-PRET                           
               ‘I pricked myself with a needle.’ (1932:134:2)</t>
  </si>
  <si>
    <t xml:space="preserve">{tá-u hatwënënto otsotā́tōt}</t>
  </si>
  <si>
    <t xml:space="preserve">tawhatwénn̥to ocotá·tot</t>
  </si>
  <si>
    <t xml:space="preserve">taw-hat-wen-n̥t-o·            oc-ot-tá·t-ot</t>
  </si>
  <si>
    <t xml:space="preserve">stand-REFLEX-pray-CONTIN-PHR.TERM above-DIR-stand-DIR</t>
  </si>
  <si>
    <t xml:space="preserve">‘I am going to stand and pray to God.’ (Gatschet, 1885b:80)</t>
  </si>
  <si>
    <t xml:space="preserve">{tá-u hatwënënto otsotā́tōt}                                         
          167) tawhatwénn̥to ocotá·tot                                              
               taw-hat-wen-n̥t-o·            oc-ot-tá·t-ot                          
               stand-REFLEX-pray-CONTIN-PHR.TERM above-DIR-stand-DIR                
               ‘I am going to stand and pray to God.’ (Gatschet, 1885b:80)</t>
  </si>
  <si>
    <t xml:space="preserve">yukíts iššaccíškišat yukít oké·t húne</t>
  </si>
  <si>
    <t xml:space="preserve">yukit-š   iš-hat-ciškiš-at         yukit oke·t    hu-ne</t>
  </si>
  <si>
    <t xml:space="preserve">[Yukiˊts icatsiˊckicat yukiˊt okēt huˊne]                            
          167) yukíts iššaccíškišat yukít oké·t húne                                
               yukit-š   iš-hat-ciškiš-at         yukit oke·t    hu-ne              
               we-FOC    1PLSTATS-REFLEX-be:glad-PRET our mother see-GER            
               ‘We were glad to see our mother.’ (1932:17:109)</t>
  </si>
  <si>
    <t xml:space="preserve">[hiatuˊxtsat]</t>
  </si>
  <si>
    <t xml:space="preserve">hihatúhcat</t>
  </si>
  <si>
    <t xml:space="preserve">hi-hat-uhc-at</t>
  </si>
  <si>
    <t xml:space="preserve">1SSTATS-REFLEX-know-PRET</t>
  </si>
  <si>
    <t xml:space="preserve">‘I remembered it.’ (1932:82:2)</t>
  </si>
  <si>
    <t xml:space="preserve">[hiatuˊxtsat]                                                        
          169) hihatúhcat                                                           
               hi-hat-uhc-at                                                        
               1SSTATS-REFLEX-know-PRET                                             
               ‘I remembered it.’ (1932:82:2)</t>
  </si>
  <si>
    <t xml:space="preserve">[teyoˊ hicakatse-uwaˊnĕt]</t>
  </si>
  <si>
    <t xml:space="preserve">teyóh hišakhaccewwánat</t>
  </si>
  <si>
    <t xml:space="preserve">teyoh hi-šak-hat-cewwan-at</t>
  </si>
  <si>
    <t xml:space="preserve">trunk 1SSTATS-3PLO-REFLEX-forget-PRET</t>
  </si>
  <si>
    <t xml:space="preserve">‘I have forgotten my trunks.’ (1932:120:2)</t>
  </si>
  <si>
    <t xml:space="preserve">[teyoˊ hicakatse-uwaˊnĕt]                                            
          170) teyóh hišakhaccewwánat                                               
               teyoh hi-šak-hat-cewwan-at                                           
               trunk 1SSTATS-3PLO-REFLEX-forget-PRET                                
               ‘I have forgotten my trunks.’ (1932:120:2)</t>
  </si>
  <si>
    <t xml:space="preserve">wí hihatícat</t>
  </si>
  <si>
    <t xml:space="preserve">wi   hi-hat-ic-at</t>
  </si>
  <si>
    <t xml:space="preserve">I    1SSTATS-REFLEX-awaken-PRET</t>
  </si>
  <si>
    <t xml:space="preserve">‘I woke up.’ (1932:51:2)</t>
  </si>
  <si>
    <t xml:space="preserve">171) wí hihatícat                                                         
               wi   hi-hat-ic-at                                                    
               I    1SSTATS-REFLEX-awaken-PRET                                      
               ‘I woke up.’ (1932:51:2)</t>
  </si>
  <si>
    <t xml:space="preserve">[Yukiˊti mōˊne oˊk-inuˊlulat imōˊc oˊt tiˊune]</t>
  </si>
  <si>
    <t xml:space="preserve">yukhíti mó·ni hokinúlulat himó·šot tíwne</t>
  </si>
  <si>
    <t xml:space="preserve">yukhiti   mo·ni     hok-inul-ul-at      himo·š-ot tiw-ne</t>
  </si>
  <si>
    <t xml:space="preserve">Indian    all(human) RECIP-gather-3PLS-PRET burial-DIR go(pl)-GER</t>
  </si>
  <si>
    <t xml:space="preserve">‘All the Indians gathered together to go to the burial.’ (1932:18:125-26)</t>
  </si>
  <si>
    <t xml:space="preserve">[Yukiˊti mōˊne oˊk-inuˊlulat imōˊc oˊt tiˊune]                       
          172) yukhíti mó·ni hokinúlulat himó·šot tíwne                             
               yukhiti   mo·ni     hok-inul-ul-at      himo·š-ot tiw-ne             
               Indian    all(human) RECIP-gather-3PLS-PRET burial-DIR go(pl)-GER    
               ‘All the Indians gathered together to go to the burial.’ (1932:18:125-26)</t>
  </si>
  <si>
    <t xml:space="preserve">waŋ-hok-ø-pe·m-kin            iša·kšakkoŋne</t>
  </si>
  <si>
    <t xml:space="preserve">go.about-RECIP-3STATS-shoot-WHEN sheriff</t>
  </si>
  <si>
    <t xml:space="preserve">ok-šak-ø-yal-at</t>
  </si>
  <si>
    <t xml:space="preserve">COME.AND-3PLO-3STATS-sieze(pl)-PRET</t>
  </si>
  <si>
    <t xml:space="preserve">[Wāˊñ-hokpēˊmkin iˊcāk cakōˊñne okcĕkiaˊlat]                         
          173) wáŋhokpé·mkin iša·kšakkóŋne okšakyálat                               
               waŋ-hok-ø-pe·m-kin            iša·kšakkoŋne                          
               go.about-RECIP-3STATS-shoot-WHEN sheriff                             
               ok-šak-ø-yal-at                                                      
               COME.AND-3PLO-3STATS-sieze(pl)-PRET                                  
               ‘When they were going about shooting at each other, the sheriff came and arrested them.’
               (1932:20:147-48)</t>
  </si>
  <si>
    <t xml:space="preserve">[ciwaˊn nohaˊmc cakcocoˊmcat]</t>
  </si>
  <si>
    <t xml:space="preserve">šiwán nohámš šakšošómšat</t>
  </si>
  <si>
    <t xml:space="preserve">šiwan nohamš   šak-šošomš-ø-at</t>
  </si>
  <si>
    <t xml:space="preserve">cat  chicken   3PLO-scare(pl)- 3S-PRET</t>
  </si>
  <si>
    <t xml:space="preserve">‘The cat scared the chickens.’ (1932:112:2)</t>
  </si>
  <si>
    <t xml:space="preserve">[ciwaˊn nohaˊmc cakcocoˊmcat]                                        
          174) šiwán nohámš šakšošómšat                                             
               šiwan nohamš   šak-šošomš-ø-at                                       
               cat  chicken   3PLO-scare(pl)- 3S-PRET                               
               ‘The cat scared the chickens.’ (1932:112:2)</t>
  </si>
  <si>
    <t xml:space="preserve">[Viˊvulat iˊcak capiˊx̥ k taneˊ-u okcak’hu-ulat]</t>
  </si>
  <si>
    <t xml:space="preserve">wíwulat išà·k šappíhk tannéw okšakhúulat</t>
  </si>
  <si>
    <t xml:space="preserve">wiw-ul-at      iša·k     šak-pihk  tan-hew</t>
  </si>
  <si>
    <t xml:space="preserve">believe-3PLS-PRET person PL-die(pl) other-PL</t>
  </si>
  <si>
    <t xml:space="preserve">ok-šak-hu-ul-at</t>
  </si>
  <si>
    <t xml:space="preserve">come-3PLO-see-3PLS-PRET</t>
  </si>
  <si>
    <t xml:space="preserve">‘They believed that other dead people came to see them.’ (1932:18:121-22)</t>
  </si>
  <si>
    <t xml:space="preserve">[Viˊvulat iˊcak capiˊx̥ k taneˊ-u okcak’hu-ulat]                     
          175) wíwulat išà·k šappíhk tannéw okšakhúulat                             
               wiw-ul-at      iša·k     šak-pihk  tan-hew                           
               believe-3PLS-PRET person PL-die(pl) other-PL                         
               ok-šak-hu-ul-at                                                      
               come-3PLO-see-3PLS-PRET                                              
               ‘They believed that other dead people came to see them.’ (1932:18:121-22)</t>
  </si>
  <si>
    <t xml:space="preserve">[Haˊ cakicāk Hiyeˊkiti cakioˊñculat]</t>
  </si>
  <si>
    <t xml:space="preserve">ha šakišá·k hiyékiti šakyóŋšulat</t>
  </si>
  <si>
    <t xml:space="preserve">ha   šak-iša·k hiyekiti       šak-yoŋš-ul-at</t>
  </si>
  <si>
    <t xml:space="preserve">her  PL-person sunrise.people 3PLO-call.by.name.-3PLS-PRET</t>
  </si>
  <si>
    <t xml:space="preserve">‘They called her relatives the Sunrise People.’ (1932:10:31)</t>
  </si>
  <si>
    <t xml:space="preserve">[Haˊ cakicāk Hiyeˊkiti cakioˊñculat]                                 
          176) ha šakišá·k hiyékiti šakyóŋšulat                                     
               ha   šak-iša·k hiyekiti       šak-yoŋš-ul-at                         
               her  PL-person sunrise.people 3PLO-call.by.name.-3PLS-PRET           
               ‘They called her relatives the Sunrise People.’ (1932:10:31)</t>
  </si>
  <si>
    <t xml:space="preserve">[hakīt cakoñc]</t>
  </si>
  <si>
    <t xml:space="preserve">hakít šakóŋš</t>
  </si>
  <si>
    <t xml:space="preserve">hakit šak-oŋš</t>
  </si>
  <si>
    <t xml:space="preserve">they 3PLSTATS-not.to.want</t>
  </si>
  <si>
    <t xml:space="preserve">‘They do not want it.’ (1932:98:1)</t>
  </si>
  <si>
    <t xml:space="preserve">[hakīt cakoñc]                                                       
          178) hakít šakóŋš                                                         
               hakit šak-oŋš                                                        
               they 3PLSTATS-not.to.want                                            
               ‘They do not want it.’ (1932:98:1)</t>
  </si>
  <si>
    <t xml:space="preserve">[keˊc ‘n cakioˊl teˊc mōñ cakmañmaˊñĕt]</t>
  </si>
  <si>
    <t xml:space="preserve">kéšn šakyól té·š mo·n šakmaŋmáŋat</t>
  </si>
  <si>
    <t xml:space="preserve">keš=n          šakyol    te·š mo·n šak-maŋ,maŋ-at</t>
  </si>
  <si>
    <t xml:space="preserve">woman(pl)=and  man       hair all  3PLSTATS-,REDUP,be.long-PRET</t>
  </si>
  <si>
    <t xml:space="preserve">‘Women and men all wore their hair long.’ (1932:10:23)</t>
  </si>
  <si>
    <t xml:space="preserve">[keˊc ‘n cakioˊl teˊc mōñ cakmañmaˊñĕt]                              
          179) kéšn šakyól té·š mo·n šakmaŋmáŋat                                    
               keš=n          šakyol    te·š mo·n šak-maŋ,maŋ-at                    
               woman(pl)=and  man       hair all  3PLSTATS-,REDUP,be.long-PRET      
               ‘Women and men all wore their hair long.’ (1932:10:23)</t>
  </si>
  <si>
    <t xml:space="preserve">[hiatuˊxtsat]                                                        
          180) hihatúhcat                                                           
               hi-hat-uhc-at                                                        
               1SSTATS-REFLEX-know-PRET                                             
               ‘I remembered it.’ (1932:82:2)</t>
  </si>
  <si>
    <t xml:space="preserve">yukít iššokyáhkóh</t>
  </si>
  <si>
    <t xml:space="preserve">yukit iš-šokyah-koh</t>
  </si>
  <si>
    <t xml:space="preserve">we   1PLSTATS-eat-DESID</t>
  </si>
  <si>
    <t xml:space="preserve">‘We want to eat.’ (1932:152:2)</t>
  </si>
  <si>
    <t xml:space="preserve">181) yukít iššokyáhkóh                                                    
               yukit iš-šokyah-koh                                                  
               we   1PLSTATS-eat-DESID                                              
               ‘We want to eat.’ (1932:152:2)</t>
  </si>
  <si>
    <t xml:space="preserve">{ish oktsángshět}</t>
  </si>
  <si>
    <t xml:space="preserve">išhokcáŋšat</t>
  </si>
  <si>
    <t xml:space="preserve">iš-hok-caŋš-at</t>
  </si>
  <si>
    <t xml:space="preserve">1PLSTAT-RECIP-push-PRET</t>
  </si>
  <si>
    <t xml:space="preserve">‘We pushed each other.’ (Gatschet, 1885b:13)</t>
  </si>
  <si>
    <t xml:space="preserve">{ish oktsángshět}                                                    
          182) išhokcáŋšat                                                          
               iš-hok-caŋš-at                                                       
               1PLSTAT-RECIP-push-PRET                                              
               ‘We pushed each other.’ (Gatschet, 1885b:13)</t>
  </si>
  <si>
    <t xml:space="preserve">[‘n hihu haˊxc aˊ]</t>
  </si>
  <si>
    <t xml:space="preserve">n̥hihúháhš á</t>
  </si>
  <si>
    <t xml:space="preserve">n̥-hi-hu-hahš  a</t>
  </si>
  <si>
    <t xml:space="preserve">2SSTATS-1SO-see-NEG Q</t>
  </si>
  <si>
    <t xml:space="preserve">‘Do you not see me?’ (1932:45:2)</t>
  </si>
  <si>
    <t xml:space="preserve">[‘n hihu haˊxc aˊ]                                                   
          183) n̥hihúháhš á                                                         
               n̥-hi-hu-hahš  a                                                     
               2SSTATS-1SO-see-NEG Q                                                
               ‘Do you not see me?’ (1932:45:2)</t>
  </si>
  <si>
    <t xml:space="preserve">paknáwwánne n̥hióŋš</t>
  </si>
  <si>
    <t xml:space="preserve">paknaw-waŋ-ne  n̥-hi-oŋš</t>
  </si>
  <si>
    <t xml:space="preserve">[paknaˊ-u wan năn hioˊñc]                                            
          184) paknáwwánne n̥hióŋš                                                  
               paknaw-waŋ-ne  n̥-hi-oŋš                                             
               run-go.about-GER 2SO-1SSTATS-not.to.want                             
               ‘I don’t want you to go running about.’ (1932:101:2)</t>
  </si>
  <si>
    <t xml:space="preserve">185) nakšakáɬišat                                                         
               nak-šak-aƛiš-at                                                      
               2PLSTATS-3PLOBJ-lose-PRET                                            
               ‘You all lost them’ (1932:13:58)</t>
  </si>
  <si>
    <t xml:space="preserve">[wic aˊ cokihuˊkit haˊx̥ c]</t>
  </si>
  <si>
    <t xml:space="preserve">[wic aˊ cokihuˊkit haˊx̥ c]                                          
          186) wí·š á šokhihúkitháhš                                                
               wi-iš a   šok-hi-hu-kit-hahš                                         
               I-foc this sth-1SSTATS-see-PROG(SG)-NEG                              
               ‘I don’t see anything.’ (1932:34:2)</t>
  </si>
  <si>
    <t xml:space="preserve">[cok iwaˊnts]</t>
  </si>
  <si>
    <t xml:space="preserve">šokhiwánc</t>
  </si>
  <si>
    <t xml:space="preserve">šok-hi-wanc-ø</t>
  </si>
  <si>
    <t xml:space="preserve">STH-1SO-tell.to-2SIMP</t>
  </si>
  <si>
    <t xml:space="preserve">‘Tell me a story!’ (1932:114:1)</t>
  </si>
  <si>
    <t xml:space="preserve">[cok iwaˊnts]                                                        
          187) šokhiwánc                                                            
               šok-hi-wanc-ø                                                        
               STH-1SO-tell.to-2SIMP                                                
               ‘Tell me a story!’ (1932:114:1)</t>
  </si>
  <si>
    <t xml:space="preserve">[wic ivīˊv há coˊx̥ ’nwaˊnkit]</t>
  </si>
  <si>
    <t xml:space="preserve">wí·š hiwíwhah šokn̥wánkit</t>
  </si>
  <si>
    <t xml:space="preserve">wi·š hi-wiw-hah          šok-n̥ -wan-kit</t>
  </si>
  <si>
    <t xml:space="preserve">I-FOC 1SSTAT-believe-NEG STH-2SSTATS-say-PROG</t>
  </si>
  <si>
    <t xml:space="preserve">‘I do not believe anything you are saying.’ (1932:34:2)</t>
  </si>
  <si>
    <t xml:space="preserve">[wic ivīˊv há coˊx̥ ’nwaˊnkit]                                       
          188) wí·š hiwíwhah šokn̥wánkit                                            
               wi·š hi-wiw-hah          šok-n̥ -wan-kit                             
               I-FOC 1SSTAT-believe-NEG STH-2SSTATS-say-PROG                        
               ‘I do not believe anything you are saying.’ (1932:34:2)</t>
  </si>
  <si>
    <t xml:space="preserve">[neˊc hidsoˊm ke-u cakuˊdskit]</t>
  </si>
  <si>
    <t xml:space="preserve">néš hicón kewšakkúckit</t>
  </si>
  <si>
    <t xml:space="preserve">neš  hicon     kew-šak-ø-kuc-kit</t>
  </si>
  <si>
    <t xml:space="preserve">wood small(inan.) SIT-3PLO-3STATS-cut-PROG</t>
  </si>
  <si>
    <t xml:space="preserve">‘He is sitting and cutting small pieces of wood’ (1932:42:2)</t>
  </si>
  <si>
    <t xml:space="preserve">[neˊc hidsoˊm ke-u cakuˊdskit]                                       
          192) néš hicón kewšakkúckit                                               
               neš  hicon     kew-šak-ø-kuc-kit                                     
               wood small(inan.) SIT-3PLO-3STATS-cut-PROG                           
               ‘He is sitting and cutting small pieces of wood’ (1932:42:2)</t>
  </si>
  <si>
    <t xml:space="preserve">[wic keˊ-ucakiuˊlckinto]</t>
  </si>
  <si>
    <t xml:space="preserve">wí·š kewšakyúlškinto</t>
  </si>
  <si>
    <t xml:space="preserve">wi-iš kew-šak-yulš-ki-nt-o·</t>
  </si>
  <si>
    <t xml:space="preserve">I-FOC SIT-3PLO-write-1SS-CONTIN-PHR.TERM</t>
  </si>
  <si>
    <t xml:space="preserve">‘I am sitting and writing to people.’ (1932:62:2)</t>
  </si>
  <si>
    <t xml:space="preserve">[wic keˊ-ucakiuˊlckinto]                                             
          193) wí·š kewšakyúlškinto                                                 
               wi-iš kew-šak-yulš-ki-nt-o·                                          
               I-FOC SIT-3PLO-write-1SS-CONTIN-PHR.TERM                             
               ‘I am sitting and writing to people.’ (1932:62:2)</t>
  </si>
  <si>
    <t xml:space="preserve">[wic keˊ-utluxkco yaˊ cokiūlco]</t>
  </si>
  <si>
    <t xml:space="preserve">wí·š kewƛúkšoya šokyúlšo</t>
  </si>
  <si>
    <t xml:space="preserve">wi-iš kew-ƛukš-o=ya           šok-yulš-o·</t>
  </si>
  <si>
    <t xml:space="preserve">I-FOC SIT-smoke.tobacco-1SS=and STH-write-1SS</t>
  </si>
  <si>
    <t xml:space="preserve">‘I am sitting, smoking tobacco, and I am writing things.’ (1932:62:2)</t>
  </si>
  <si>
    <t xml:space="preserve">[wic keˊ-utluxkco yaˊ cokiūlco]                                      
          194) wí·š kewƛúkšoya šokyúlšo                                             
               wi-iš kew-ƛukš-o=ya           šok-yulš-o·                            
               I-FOC SIT-smoke.tobacco-1SS=and STH-write-1SS                        
               ‘I am sitting, smoking tobacco, and I am writing things.’ (1932:62:2)</t>
  </si>
  <si>
    <t xml:space="preserve">[cokiˊc ke-uheˊtskit]</t>
  </si>
  <si>
    <t xml:space="preserve">šokhíš kewhéckit</t>
  </si>
  <si>
    <t xml:space="preserve">šokhiš    kew-ø-hec-kit</t>
  </si>
  <si>
    <t xml:space="preserve">plant     SIT-3STATS-grow-PROG(SG)</t>
  </si>
  <si>
    <t xml:space="preserve">‘The plant is growing.’ (1932:38:2)</t>
  </si>
  <si>
    <t xml:space="preserve">[cokiˊc ke-uheˊtskit]                                                
          196) šokhíš kewhéckit                                                     
               šokhiš    kew-ø-hec-kit                                              
               plant     SIT-3STATS-grow-PROG(SG)                                   
               ‘The plant is growing.’ (1932:38:2)</t>
  </si>
  <si>
    <t xml:space="preserve">[Tawatweˊnăt Utsutaˊt ut.]</t>
  </si>
  <si>
    <t xml:space="preserve">tawwatwénat ocottá·tot</t>
  </si>
  <si>
    <t xml:space="preserve">taw-hat-ø-wen-at         oc-ot-tá·t-ot</t>
  </si>
  <si>
    <t xml:space="preserve">stand-REFLEX-3STATS-pray-PRET above-DIR-stand-DIR</t>
  </si>
  <si>
    <t xml:space="preserve">‘They stood and prayed to God (She-who-stands-above).’ (1932:9:14)</t>
  </si>
  <si>
    <t xml:space="preserve">[Tawatweˊnăt Utsutaˊt ut.]                                           
          197) tawwatwénat ocottá·tot                                               
               taw-hat-ø-wen-at         oc-ot-tá·t-ot                               
               stand-REFLEX-3STATS-pray-PRET above-DIR-stand-DIR                    
               ‘They stood and prayed to God (She-who-stands-above).’ (1932:9:14)</t>
  </si>
  <si>
    <t xml:space="preserve">[ta-ucok’koˊ-ikit]                                                   
          198) tawšokkóykit                                                         
               taw-šok-ø-koy-kit                                                    
               STAND-STH-3STATS-say-PROG                                            
               ‘He is standing and saying things, i.e. he is preaching.’ (1932:69:1)</t>
  </si>
  <si>
    <t xml:space="preserve">feather   STAND-3STATS-wave-PROG(PL)</t>
  </si>
  <si>
    <t xml:space="preserve">‘The feathers are waving (lit. are standing and waving).’ (1932:141:1)</t>
  </si>
  <si>
    <t xml:space="preserve">[naˊ-u taˊ-u-walwaˊlctit]                                            
          200) náw tawwalwálštit                                                    
               naw       taw-ø-walwalš-tit                                          
               feather   STAND-3STATS-wave-PROG(PL)                                 
               ‘The feathers are waving (lit. are standing and waving).’ (1932:141:1)</t>
  </si>
  <si>
    <t xml:space="preserve">{tá-uikíkit káukau}</t>
  </si>
  <si>
    <t xml:space="preserve">tawikí·kkit kawkàw</t>
  </si>
  <si>
    <t xml:space="preserve">taw-ø-iki·k-kit          kawkaw</t>
  </si>
  <si>
    <t xml:space="preserve">STAND-3STATS-drip-PROG(SG) water</t>
  </si>
  <si>
    <t xml:space="preserve">‘Water is dripping (lit. is standing and dripping).’ (Gatschet, 1885b:7)</t>
  </si>
  <si>
    <t xml:space="preserve">{tá-uikíkit káukau}                                                  
          201) tawikí·kkit kawkàw                                                   
               taw-ø-iki·k-kit          kawkaw                                      
               STAND-3STATS-drip-PROG(SG) water                                     
               ‘Water is dripping (lit. is standing and dripping).’ (Gatschet, 1885b:7)</t>
  </si>
  <si>
    <t xml:space="preserve">[icāk tso-opiˊctit]</t>
  </si>
  <si>
    <t xml:space="preserve">išá·k cowpíštit</t>
  </si>
  <si>
    <t xml:space="preserve">iša·k     ø-cow-piš-tit</t>
  </si>
  <si>
    <t xml:space="preserve">person    3STATS-STAND(PL)-twist-PROG(PL)</t>
  </si>
  <si>
    <t xml:space="preserve">‘The people are standing and twisting.’ (1932:106:1)</t>
  </si>
  <si>
    <t xml:space="preserve">[icāk tso-opiˊctit]                                                  
          202) išá·k cowpíštit                                                      
               iša·k     ø-cow-piš-tit                                              
               person    3STATS-STAND(PL)-twist-PROG(PL)                            
               ‘The people are standing and twisting.’ (1932:106:1)</t>
  </si>
  <si>
    <t xml:space="preserve">GO.AND-3STATS-see-DESID-PRET 3STATS-die-NEG-ASP go</t>
  </si>
  <si>
    <t xml:space="preserve">‘She wanted to go and see him before he died, but she was unable to go.’ (1932: 17:105- 06)</t>
  </si>
  <si>
    <t xml:space="preserve">[Tik’huˊ koˊhat kaˊ-u hāˊxc taˊn, tiˊc aˊ-ucat]                      
          203) tikhúkóhat káwháhštán tíš áwšat                                      
               tik-ø-hu-koh-at          ø-kaw-hahš-tan tiš                          
               GO.AND-3STATS-see-DESID-PRET 3STATS-die-NEG-ASP go                   
               ø-awš-at                                                             
               3STATS-not.be.able-PRET                                              
               ‘She wanted to go and see him before he died, but she was unable to go.’ (1932: 17:105-
               06)</t>
  </si>
  <si>
    <t xml:space="preserve">[hikuˊ wi nuˊk tiˊk ika koˊ]</t>
  </si>
  <si>
    <t xml:space="preserve">hikú wi núk tikhikákóh</t>
  </si>
  <si>
    <t xml:space="preserve">soup I    self GO.AND-1SSTATS-make-DESID</t>
  </si>
  <si>
    <t xml:space="preserve">[hikuˊ wi nuˊk tiˊk ika koˊ]                                         
          204) hikú wi núk tikhikákóh                                               
               hiku wi   nuk  tik-hi-ka-koh                                         
               soup I    self GO.AND-1SSTATS-make-DESID                             
               ‘I myself want to go and make soup.’ (1932:41:1)</t>
  </si>
  <si>
    <t xml:space="preserve">[tik’huˊwo]</t>
  </si>
  <si>
    <t xml:space="preserve">tikhúo</t>
  </si>
  <si>
    <t xml:space="preserve">tik-hu-o</t>
  </si>
  <si>
    <t xml:space="preserve">GO.AND-see-1SS</t>
  </si>
  <si>
    <t xml:space="preserve">‘I am going to see someone.’ (1932:46:1)</t>
  </si>
  <si>
    <t xml:space="preserve">[tik’huˊwo]                                                          
          205) tikhúo                                                               
               tik-hu-o                                                             
               GO.AND-see-1SS                                                       
               ‘I am going to see someone.’ (1932:46:1)</t>
  </si>
  <si>
    <t xml:space="preserve">COME.AND-3PLO-see-3PLS-PRET</t>
  </si>
  <si>
    <t xml:space="preserve">‘They believed that other dead people came to see them.’ (1932:18:121-122)</t>
  </si>
  <si>
    <t xml:space="preserve">[Viˊvulat iˊcak capiˊx̥ k taneˊ-u okcak’hu-ulat]                     
          207) wíwulat išà·k šappíhk tannéw okšakhúulat                             
               wiw-ul-at      iša·k     šak-pihk  tan-hew                           
               believe-3PLS-PRET person PL-die(pl) other-PL                         
               ok-šak-hu-ul-at                                                      
               COME.AND-3PLO-see-3PLS-PRET                                          
               ‘They believed that other dead people came to see them.’ (1932:18:121-122)</t>
  </si>
  <si>
    <t xml:space="preserve">{ók hi-úat}</t>
  </si>
  <si>
    <t xml:space="preserve">okhihúat</t>
  </si>
  <si>
    <t xml:space="preserve">ok-hi-ø-hu-at</t>
  </si>
  <si>
    <t xml:space="preserve">COME.AND-1SO-3STATS-see-PRET</t>
  </si>
  <si>
    <t xml:space="preserve">‘He came to see me.’ (Gatschet 1885b:87)</t>
  </si>
  <si>
    <t xml:space="preserve">{ók hi-úat}                                                          
          208) okhihúat                                                             
               ok-hi-ø-hu-at                                                        
               COME.AND-1SO-3STATS-see-PRET                                         
               ‘He came to see me.’ (Gatschet 1885b:87)</t>
  </si>
  <si>
    <t xml:space="preserve">wi núŋot payhitíškóh</t>
  </si>
  <si>
    <t xml:space="preserve">wi   nuŋ-ot    pay-hi-tiš-koh</t>
  </si>
  <si>
    <t xml:space="preserve">my   village-DIR BACK-1SSTATS-go-DESID</t>
  </si>
  <si>
    <t xml:space="preserve">[wi nuˊñ uˊt paˊi hitiˊc ko]                                         
          209) wi núŋot payhitíškóh                                                 
               wi   nuŋ-ot    pay-hi-tiš-koh                                        
               my   village-DIR BACK-1SSTATS-go-DESID                               
               ‘I want to go back to my village.’ (1932:94:2)</t>
  </si>
  <si>
    <t xml:space="preserve">ití tanúkip yíl tútnan ó·l paymóhat</t>
  </si>
  <si>
    <t xml:space="preserve">ití  tanuk-ip  yil  tutnan    o·l  pay-ø-moh-at</t>
  </si>
  <si>
    <t xml:space="preserve">night one-INESS day before    near BACK-3STATS-return-PRET</t>
  </si>
  <si>
    <t xml:space="preserve">‘Once at night, just before daybreak, she returned back.’ (1932:17:108-09)</t>
  </si>
  <si>
    <t xml:space="preserve">210) ití tanúkip yíl tútnan ó·l paymóhat                                  
               ití  tanuk-ip  yil  tutnan    o·l  pay-ø-moh-at                      
               night one-INESS day before    near BACK-3STATS-return-PRET           
               ‘Once at night, just before daybreak, she returned back.’ (1932:17:108-09)</t>
  </si>
  <si>
    <t xml:space="preserve">[Pa-itoˊlucat wiˊ ot]</t>
  </si>
  <si>
    <t xml:space="preserve">paytólušat wíot</t>
  </si>
  <si>
    <t xml:space="preserve">pay-ø-tol-uš-at          wi-ot</t>
  </si>
  <si>
    <t xml:space="preserve">BACK-3STATS-be.good-be.true-PRET I-DIR</t>
  </si>
  <si>
    <t xml:space="preserve">‘He was generous to me.’ (1932:16:104)</t>
  </si>
  <si>
    <t xml:space="preserve">[Pa-itoˊlucat wiˊ ot]                                                
          211) paytólušat wíot                                                      
               pay-ø-tol-uš-at          wi-ot                                       
               BACK-3STATS-be.good-be.true-PRET I-DIR                               
               ‘He was generous to me.’ (1932:16:104)</t>
  </si>
  <si>
    <t xml:space="preserve">[kitsāk paihe-uc ăˊmĕt]</t>
  </si>
  <si>
    <t xml:space="preserve">kicá·k payhéwš ámat</t>
  </si>
  <si>
    <t xml:space="preserve">kica·k    pay-hewš       ø-am-at</t>
  </si>
  <si>
    <t xml:space="preserve">whiskey   BACK-be.much   3STATS-drink-PRET</t>
  </si>
  <si>
    <t xml:space="preserve">‘He drank too much whiskey.’ (1932:100:2)</t>
  </si>
  <si>
    <t xml:space="preserve">[kitsāk paihe-uc ăˊmĕt]                                              
          212) kicá·k payhéwš ámat                                                  
               kica·k    pay-hewš       ø-am-at                                     
               whiskey   BACK-be.much   3STATS-drink-PRET                           
               ‘He drank too much whiskey.’ (1932:100:2)</t>
  </si>
  <si>
    <t xml:space="preserve">[paiheˊts uˊc]</t>
  </si>
  <si>
    <t xml:space="preserve">payhécuš</t>
  </si>
  <si>
    <t xml:space="preserve">pay-ø-hec-uš</t>
  </si>
  <si>
    <t xml:space="preserve">BACK-3STATS-be.big-be.true</t>
  </si>
  <si>
    <t xml:space="preserve">‘It is truly too large.’ (1932:100:2)</t>
  </si>
  <si>
    <t xml:space="preserve">[paiheˊts uˊc]                                                       
          213) payhécuš                                                             
               pay-ø-hec-uš                                                         
               BACK-3STATS-be.big-be.true                                           
               ‘It is truly too large.’ (1932:100:2)</t>
  </si>
  <si>
    <t xml:space="preserve">hiyittáˑto</t>
  </si>
  <si>
    <t xml:space="preserve">hiyik-taˑt-o</t>
  </si>
  <si>
    <t xml:space="preserve">UPWARDS-stand(sg)-1SS</t>
  </si>
  <si>
    <t xml:space="preserve">‘I am standing up.’ (1932:123:1)</t>
  </si>
  <si>
    <t xml:space="preserve">214) hiyittáˑto                                                           
               hiyik-taˑt-o                                                         
               UPWARDS-stand(sg)-1SS                                                
               ‘I am standing up.’ (1932:123:1)</t>
  </si>
  <si>
    <t xml:space="preserve">[wi iyiˊktat cukiuˊlkinto]</t>
  </si>
  <si>
    <t xml:space="preserve">wí hiyiktá·tšokyúlkinto</t>
  </si>
  <si>
    <t xml:space="preserve">wi   hiyik-tá·t-šok-yúl-ki-nt-oˑ</t>
  </si>
  <si>
    <t xml:space="preserve">I    UPWARDS-stand(sg)-sth-write-1SS-CONTIN-PHR.TERM</t>
  </si>
  <si>
    <t xml:space="preserve">‘I am going to stand up and write something.’ (1932:160:1)</t>
  </si>
  <si>
    <t xml:space="preserve">[wi iyiˊktat cukiuˊlkinto]                                           
          215) wí hiyiktá·tšokyúlkinto                                              
               wi   hiyik-tá·t-šok-yúl-ki-nt-oˑ                                     
               I    UPWARDS-stand(sg)-sth-write-1SS-CONTIN-PHR.TERM                 
               ‘I am going to stand up and write something.’ (1932:160:1)</t>
  </si>
  <si>
    <t xml:space="preserve">{púmpumsh iyipú’hkit}</t>
  </si>
  <si>
    <t xml:space="preserve">púmpumš hiyippúhkit</t>
  </si>
  <si>
    <t xml:space="preserve">pumpumš   hiyik-ø-púh-kit</t>
  </si>
  <si>
    <t xml:space="preserve">flea      UPWARDS-3STATS-jump(sg)-PROG(SG)</t>
  </si>
  <si>
    <t xml:space="preserve">‘The flea is jumping up.’ (Gatschet, 1885b:32)</t>
  </si>
  <si>
    <t xml:space="preserve">{púmpumsh iyipú’hkit}                                                
          216) púmpumš hiyippúhkit                                                  
               pumpumš   hiyik-ø-púh-kit                                            
               flea      UPWARDS-3STATS-jump(sg)-PROG(SG)                           
               ‘The flea is jumping up.’ (Gatschet, 1885b:32)</t>
  </si>
  <si>
    <t xml:space="preserve">[ichiyikpuˊmtsĕl]</t>
  </si>
  <si>
    <t xml:space="preserve">hiyikpúmcel</t>
  </si>
  <si>
    <t xml:space="preserve">hiyik-pum-cel</t>
  </si>
  <si>
    <t xml:space="preserve">UPWARDS-jump(pl)-1PLS</t>
  </si>
  <si>
    <t xml:space="preserve">‘We are jumping up.’ (1932:107:1)</t>
  </si>
  <si>
    <t xml:space="preserve">[ichiyikpuˊmtsĕl]                                                    
          217) hiyikpúmcel                                                          
               hiyik-pum-cel                                                        
               UPWARDS-jump(pl)-1PLS                                                
               ‘We are jumping up.’ (1932:107:1)</t>
  </si>
  <si>
    <t xml:space="preserve">{wi núket hatláshnto}</t>
  </si>
  <si>
    <t xml:space="preserve">wi núk ikhatlášn̥to</t>
  </si>
  <si>
    <t xml:space="preserve">wi   nuk  ik-hat-laš-n̥t-o·</t>
  </si>
  <si>
    <t xml:space="preserve">I    self INSTR-shave-CONTIN-PHR.TERM</t>
  </si>
  <si>
    <t xml:space="preserve">‘I am going to shave myself with something’ (Gatschet, 1885c:63)</t>
  </si>
  <si>
    <t xml:space="preserve">{wi núket hatláshnto}                                                
          221) wi núk ikhatlášn̥to                                                  
               wi   nuk  ik-hat-laš-n̥t-o·                                          
               I    self INSTR-shave-CONTIN-PHR.TERM                                
               ‘I am going to shave myself with something’ (Gatschet, 1885c:63)</t>
  </si>
  <si>
    <t xml:space="preserve">[Icāk cuk’hēˊc kaˊ-ukin vīˊwulat cok hatse-eˊc hiweˊ-u kaˊ-at]</t>
  </si>
  <si>
    <t xml:space="preserve">iša·k šoké·š káwkin wiwulat šok hacehéš hiwéw káat14</t>
  </si>
  <si>
    <t xml:space="preserve">iša·k šoke·š ø-kaw-kin   wiw-u-lat      šok  haceheš hiwew</t>
  </si>
  <si>
    <t xml:space="preserve">person sick 3STATS-die-WHEN believe-3PLS-PRET thing bad very</t>
  </si>
  <si>
    <t xml:space="preserve">ø-ka-at</t>
  </si>
  <si>
    <t xml:space="preserve">3STATS-do-PRET</t>
  </si>
  <si>
    <t xml:space="preserve">‘After someone sick died, they believed that something very bad had done it.’ (1932:18:118-119)</t>
  </si>
  <si>
    <t xml:space="preserve">[Icāk cuk’hēˊc kaˊ-ukin vīˊwulat cok hatse-eˊc hiweˊ-u kaˊ-at]       
          222) iša·k šoké·š káwkin wiwulat šok hacehéš hiwéw káat14                 
               iša·k šoke·š ø-kaw-kin   wiw-u-lat      šok  haceheš hiwew           
               person sick 3STATS-die-WHEN believe-3PLS-PRET thing bad very         
               ø-ka-at                                                              
               3STATS-do-PRET                                                       
               ‘After someone sick died, they believed that something very bad had done it.’
               (1932:18:118-119)</t>
  </si>
  <si>
    <t xml:space="preserve">[Yiˊl mōn taˊ-i ō hoˊktiwē icwāˊñĕhĕ]</t>
  </si>
  <si>
    <t xml:space="preserve">yíl mo·n táy ó hoktiwé· išwáŋehe</t>
  </si>
  <si>
    <t xml:space="preserve">yil  mo·n tay  o     hok-tiwe·     iš-waŋ-ehe</t>
  </si>
  <si>
    <t xml:space="preserve">day  all  river beside RECIP-be.together 1PLSTATS-go.about-DUB</t>
  </si>
  <si>
    <t xml:space="preserve">‘All day we might go about together beside the river.’ (1932:13:45)</t>
  </si>
  <si>
    <t xml:space="preserve">[Yiˊl mōn taˊ-i ō hoˊktiwē icwāˊñĕhĕ]                                
          224) yíl mo·n táy ó hoktiwé· išwáŋehe                                     
               yil  mo·n tay  o     hok-tiwe·     iš-waŋ-ehe                        
               day  all  river beside RECIP-be.together 1PLSTATS-go.about-DUB       
               ‘All day we might go about together beside the river.’ (1932:13:45)</t>
  </si>
  <si>
    <t xml:space="preserve">[haˊ moˊninaˊk micat]</t>
  </si>
  <si>
    <t xml:space="preserve">ha mó·ni nakmìšat</t>
  </si>
  <si>
    <t xml:space="preserve">ha   mo·ni     nak-ø-miš-at</t>
  </si>
  <si>
    <t xml:space="preserve">he   all(animate) 2PLO-3STATS-give-PRET</t>
  </si>
  <si>
    <t xml:space="preserve">‘He gave it to all of you all.’ (1932:81:2)</t>
  </si>
  <si>
    <t xml:space="preserve">[haˊ moˊninaˊk micat]                                                
          225) ha mó·ni nakmìšat                                                    
               ha   mo·ni     nak-ø-miš-at                                          
               he   all(animate) 2PLO-3STATS-give-PRET                              
               ‘He gave it to all of you all.’ (1932:81:2)</t>
  </si>
  <si>
    <t xml:space="preserve">[Iluˊ woc-peˊ haˊl imatoˊl (a)tkaki kaˊwat iluˊ wocpeˊ latsīˊk hinaˊka wăˊciñ]</t>
  </si>
  <si>
    <t xml:space="preserve">ilú wošpé hálhimatól atkáki káwat ilú wošpé laccí·k hinákka wášiŋ</t>
  </si>
  <si>
    <t xml:space="preserve">ilu  wošpe     hal-himatol atkaki  ø-kaw-at       ilu</t>
  </si>
  <si>
    <t xml:space="preserve">year ten       again-four ago      3STATS-die-PRET year</t>
  </si>
  <si>
    <t xml:space="preserve">wošpe     lacci·k   hinakka   ø-wašiŋ</t>
  </si>
  <si>
    <t xml:space="preserve">ten       six       like      3STATS-be.so.old</t>
  </si>
  <si>
    <t xml:space="preserve">‘She died fourteen years ago, when she was about sixty years old.’ (1932:15:87-88)</t>
  </si>
  <si>
    <t xml:space="preserve">[Iluˊ woc-peˊ haˊl imatoˊl (a)tkaki kaˊwat iluˊ wocpeˊ latsīˊk hinaˊka wăˊciñ]
          226) ilú wošpé hálhimatól atkáki káwat ilú wošpé laccí·k hinákka wášiŋ    
               ilu  wošpe     hal-himatol atkaki  ø-kaw-at       ilu                
               year ten       again-four ago      3STATS-die-PRET year              
               wošpe     lacci·k   hinakka   ø-wašiŋ                                
               ten       six       like      3STATS-be.so.old                       
               ‘She died fourteen years ago, when she was about sixty years old.’ (1932:15:87-88)</t>
  </si>
  <si>
    <t xml:space="preserve">samtí ití kúšmélme·l púm káulat</t>
  </si>
  <si>
    <t xml:space="preserve">samti     ití  kuš,mel,me·l   pum  ka-ul-at</t>
  </si>
  <si>
    <t xml:space="preserve">Saturday  night black.person,PL, dance make-3PLS-PRET</t>
  </si>
  <si>
    <t xml:space="preserve">‘On Saturday night, the black people held a dance.’ (1932:20:141)</t>
  </si>
  <si>
    <t xml:space="preserve">227) samtí ití kúšmélme·l púm káulat                                      
               samti     ití  kuš,mel,me·l   pum  ka-ul-at                          
               Saturday  night black.person,PL, dance make-3PLS-PRET                
               ‘On Saturday night, the black people held a dance.’ (1932:20:141)</t>
  </si>
  <si>
    <t xml:space="preserve">[Kiwilc hikuˊlat toˊ’ntaˊvm]</t>
  </si>
  <si>
    <t xml:space="preserve">kiwílš hìkulat town̥ táwm̥</t>
  </si>
  <si>
    <t xml:space="preserve">kiwilš         hik-ul-at           town̥tawm̥</t>
  </si>
  <si>
    <t xml:space="preserve">white.people   catch.sight.of-3PLS-PRET sometimes</t>
  </si>
  <si>
    <t xml:space="preserve">‘White people have caught sight of him sometimes.’ (1932:11:34)</t>
  </si>
  <si>
    <t xml:space="preserve">[Kiwilc hikuˊlat toˊ’ntaˊvm]                                         
          228) kiwílš hìkulat town̥ táwm̥                                           
               kiwilš         hik-ul-at           town̥tawm̥                        
               white.people   catch.sight.of-3PLS-PRET sometimes                    
               ‘White people have caught sight of him sometimes.’ (1932:11:34)</t>
  </si>
  <si>
    <t xml:space="preserve">[ti-u kaukauˊkit]</t>
  </si>
  <si>
    <t xml:space="preserve">tíw kawkáwkit</t>
  </si>
  <si>
    <t xml:space="preserve">tiw       ø-kawkaw-kit</t>
  </si>
  <si>
    <t xml:space="preserve">intensely 3STATS-rain-PROG(SG)</t>
  </si>
  <si>
    <t xml:space="preserve">‘It is raining hard.’ (1932:58:1)</t>
  </si>
  <si>
    <t xml:space="preserve">[ti-u kaukauˊkit]                                                    
          229) tíw kawkáwkit                                                        
               tiw       ø-kawkaw-kit                                               
               intensely 3STATS-rain-PROG(SG)                                       
               ‘It is raining hard.’ (1932:58:1)</t>
  </si>
  <si>
    <t xml:space="preserve">[tiˊ-uxts kaukauˊkit]</t>
  </si>
  <si>
    <t xml:space="preserve">tíwhc kawkáwkit</t>
  </si>
  <si>
    <t xml:space="preserve">tiwhc     ø-kawkaw-kit</t>
  </si>
  <si>
    <t xml:space="preserve">gently    3STATS-rain-PROG(SG)</t>
  </si>
  <si>
    <t xml:space="preserve">‘It is raining gently.’ (1932:58:1)</t>
  </si>
  <si>
    <t xml:space="preserve">[tiˊ-uxts kaukauˊkit]                                                
          230) tíwhc kawkáwkit                                                      
               tiwhc     ø-kawkaw-kit                                               
               gently    3STATS-rain-PROG(SG)                                       
               ‘It is raining gently.’ (1932:58:1)</t>
  </si>
  <si>
    <t xml:space="preserve">{kúltan ok-tíshat okwángsh hā́ngshat}</t>
  </si>
  <si>
    <t xml:space="preserve">kultàn oktíšat, hokwáŋš háŋšat</t>
  </si>
  <si>
    <t xml:space="preserve">kultan    ok-ø-tiš-at         hokwaŋš   ø-haŋš-at</t>
  </si>
  <si>
    <t xml:space="preserve">long.time COME-3STATS-go-PRET war       3STATS-be.ended-PRET</t>
  </si>
  <si>
    <t xml:space="preserve">‘A long time has passed, the (Civil) War is over.’ (Gatschet 1885b:168)</t>
  </si>
  <si>
    <t xml:space="preserve">{kúltan ok-tíshat okwángsh hā́ngshat}                                
          231) kultàn oktíšat, hokwáŋš háŋšat                                       
               kultan    ok-ø-tiš-at         hokwaŋš   ø-haŋš-at                    
               long.time COME-3STATS-go-PRET war       3STATS-be.ended-PRET         
               ‘A long time has passed, the (Civil) War is over.’ (Gatschet 1885b:168)</t>
  </si>
  <si>
    <t xml:space="preserve">[toˊlka heyiˊkiulat]</t>
  </si>
  <si>
    <t xml:space="preserve">tólka hiyíkiulat</t>
  </si>
  <si>
    <t xml:space="preserve">tol-ka    hi-yiki-ul-at</t>
  </si>
  <si>
    <t xml:space="preserve">good-ADV  1SOBJ-pay-3PLS-PRET</t>
  </si>
  <si>
    <t xml:space="preserve">‘They paid me well.’ (1932:155:20)</t>
  </si>
  <si>
    <t xml:space="preserve">[toˊlka heyiˊkiulat]                                                 
          232) tólka hiyíkiulat                                                     
               tol-ka    hi-yiki-ul-at                                              
               good-ADV  1SOBJ-pay-3PLS-PRET                                        
               ‘They paid me well.’ (1932:155:20)</t>
  </si>
  <si>
    <t xml:space="preserve">[hiweˊ-uka kaukauˊkit]</t>
  </si>
  <si>
    <t xml:space="preserve">hiwéwka kawkáwkit</t>
  </si>
  <si>
    <t xml:space="preserve">hiwew-ka  ø-kawkaw-kit</t>
  </si>
  <si>
    <t xml:space="preserve">strong-ADV 3STATS-rain-PROG(SG)</t>
  </si>
  <si>
    <t xml:space="preserve">‘It is raining heavily.’ (1932:57:1)</t>
  </si>
  <si>
    <t xml:space="preserve">[hiweˊ-uka kaukauˊkit]                                               
          233) hiwéwka kawkáwkit                                                    
               hiwew-ka  ø-kawkaw-kit                                               
               strong-ADV 3STATS-rain-PROG(SG)                                      
               ‘It is raining heavily.’ (1932:57:1)</t>
  </si>
  <si>
    <t xml:space="preserve">[kuˊtska yiltāt]</t>
  </si>
  <si>
    <t xml:space="preserve">kúcka yíltá·t</t>
  </si>
  <si>
    <t xml:space="preserve">kuc-ka    yil-ta·t-ø</t>
  </si>
  <si>
    <t xml:space="preserve">be.red-ADV 3STATS-shine-stand(sg)-3S</t>
  </si>
  <si>
    <t xml:space="preserve">‘It is standing and shining redly.’ (1932:156:1)</t>
  </si>
  <si>
    <t xml:space="preserve">[kuˊtska yiltāt]                                                     
          234) kúcka yíltá·t                                                        
               kuc-ka    yil-ta·t-ø                                                 
               be.red-ADV 3STATS-shine-stand(sg)-3S                                 
               ‘It is standing and shining redly.’ (1932:156:1)</t>
  </si>
  <si>
    <t xml:space="preserve">[taˊ-i katiˊct]</t>
  </si>
  <si>
    <t xml:space="preserve">táyka tíš</t>
  </si>
  <si>
    <t xml:space="preserve">tay-ka    tiš-ø</t>
  </si>
  <si>
    <t xml:space="preserve">straight-ADV go-3S</t>
  </si>
  <si>
    <t xml:space="preserve">‘It goes straight.’ (1932:125:1)</t>
  </si>
  <si>
    <t xml:space="preserve">[taˊ-i katiˊct]                                                      
          235) táyka tíš                                                            
               tay-ka    tiš-ø                                                      
               straight-ADV go-3S                                                   
               ‘It goes straight.’ (1932:125:1)</t>
  </si>
  <si>
    <t xml:space="preserve">[Tchaˊkta yuk’hiti icāˊt atyiˊnsne hinaˊka cakeˊat]</t>
  </si>
  <si>
    <t xml:space="preserve">čákta yukhíti iša·thatyíncne hinákka šakkéat</t>
  </si>
  <si>
    <t xml:space="preserve">čakta     yukhiti   iša·t-hat-yinc-ne        hinak-ka</t>
  </si>
  <si>
    <t xml:space="preserve">Choctaw   Indian    head-REFLEX-wrap.around-GER be.like-ADV</t>
  </si>
  <si>
    <t xml:space="preserve">šak-ke-at</t>
  </si>
  <si>
    <t xml:space="preserve">3PLSTATS-have-PRET</t>
  </si>
  <si>
    <t xml:space="preserve">‘The Choctaw Indians had crowns in the same way.’ (1932:19:136-37)</t>
  </si>
  <si>
    <t xml:space="preserve">[Tchaˊkta yuk’hiti icāˊt atyiˊnsne hinaˊka cakeˊat]                  
          236) čákta yukhíti iša·thatyíncne hinákka šakkéat                         
               čakta     yukhiti   iša·t-hat-yinc-ne        hinak-ka                
               Choctaw   Indian    head-REFLEX-wrap.around-GER be.like-ADV          
               šak-ke-at                                                            
               3PLSTATS-have-PRET                                                   
               ‘The Choctaw Indians had crowns in the same way.’ (1932:19:136-37)</t>
  </si>
  <si>
    <t xml:space="preserve">[yaˊ tsiˊk oˊt cakiyeˊ lāk]</t>
  </si>
  <si>
    <t xml:space="preserve">yá cí·kot šakiyéla·k</t>
  </si>
  <si>
    <t xml:space="preserve">ya        ci·k-ot   šak-ø-iye-la·k</t>
  </si>
  <si>
    <t xml:space="preserve">that.person two-DIR 3PLO-3STATS-more-be.strong</t>
  </si>
  <si>
    <t xml:space="preserve">‘That person is the stronger of the two.’ (1932:154:1)</t>
  </si>
  <si>
    <t xml:space="preserve">[yaˊ tsiˊk oˊt cakiyeˊ lāk]                                          
          238) yá cí·kot šakiyéla·k                                                 
               ya        ci·k-ot   šak-ø-iye-la·k                                   
               that.person two-DIR 3PLO-3STATS-more-be.strong                       
               ‘That person is the stronger of the two.’ (1932:154:1)</t>
  </si>
  <si>
    <t xml:space="preserve">[yukiˊti nuˊnkin kēˊt’ntat Yuk’hiˊti Tuˊl toˊlpot inoˊ Tuˊl Teˊ-u iyeˊ edson]</t>
  </si>
  <si>
    <t xml:space="preserve">yukhíti núŋkin ké·tntat yukhíti túl tólpot inó túl téw iyéhicon</t>
  </si>
  <si>
    <t xml:space="preserve">yukhiti nuŋ-kin ø-ke·t-nt-at       yukhiti   tul  tolpot ino</t>
  </si>
  <si>
    <t xml:space="preserve">Indian village-LOC 3STATS-dwell-CONTIN-PRET Indian lake east side</t>
  </si>
  <si>
    <t xml:space="preserve">tul  tew       ø-iye-hicon</t>
  </si>
  <si>
    <t xml:space="preserve">lake upstream  3STATS-be.more-be.small</t>
  </si>
  <si>
    <t xml:space="preserve">‘She used to live in an Indian village on the east side of Lake Prien (Indian Lake); Lake Charles (Upstream Lake) is smaller.’ (1932:71-72)</t>
  </si>
  <si>
    <t xml:space="preserve">[yukiˊti nuˊnkin kēˊt’ntat Yuk’hiˊti Tuˊl toˊlpot inoˊ Tuˊl Teˊ-u iyeˊ edson]
          239) yukhíti núŋkin ké·tntat yukhíti túl tólpot inó túl téw iyéhicon      
               yukhiti nuŋ-kin ø-ke·t-nt-at       yukhiti   tul  tolpot ino         
               Indian village-LOC 3STATS-dwell-CONTIN-PRET Indian lake east side    
               tul  tew       ø-iye-hicon                                           
               lake upstream  3STATS-be.more-be.small                               
               ‘She used to live in an Indian village on the east side of Lake Prien (Indian Lake);
               Lake Charles (Upstream Lake) is smaller.’ (1932:71-72)</t>
  </si>
  <si>
    <t xml:space="preserve">[yaˊ kic cokciˊ-u taneˊ-ucaˊk iyaˊ-i]</t>
  </si>
  <si>
    <t xml:space="preserve">yá kíš šokšíw tannéw šakiyáhi</t>
  </si>
  <si>
    <t xml:space="preserve">ya   kiš       šokšiw    tan-hew   šak-ø-iyahi</t>
  </si>
  <si>
    <t xml:space="preserve">that woman     be.stingy other-PL  3PLO-3STATS-be.ahead.of</t>
  </si>
  <si>
    <t xml:space="preserve">‘That woman is the stingiest one of all the others,’ lit. ‘That woman is stingy; she is ahead of the other people.’ (1932:112:2)</t>
  </si>
  <si>
    <t xml:space="preserve">[yaˊ kic cokciˊ-u taneˊ-ucaˊk iyaˊ-i]                                
          241) yá kíš šokšíw tannéw šakiyáhi                                        
               ya   kiš       šokšiw    tan-hew   šak-ø-iyahi                       
               that woman     be.stingy other-PL  3PLO-3STATS-be.ahead.of           
               ‘That woman is the stingiest one of all the others,’ lit. ‘That woman is stingy; she is
               ahead of the other people.’ (1932:112:2)</t>
  </si>
  <si>
    <t xml:space="preserve">[cokoˊ-i taˊnuk mōn cokiyaˊ-i &lt;ōˊtsi&gt; taneˊ-uts]</t>
  </si>
  <si>
    <t xml:space="preserve">šokóy tanùk mo·n šakiyáhi tannéw [óci]</t>
  </si>
  <si>
    <t xml:space="preserve">šokoy tanuk mo·n šak-ø-iyahi       tan-hew   oci</t>
  </si>
  <si>
    <t xml:space="preserve">chief one all  3PLO-3STATS-be.ahead of other-PL above</t>
  </si>
  <si>
    <t xml:space="preserve">‘One chief was ahead in regard to all things above the others.’ (1932:9:10-11)</t>
  </si>
  <si>
    <t xml:space="preserve">[cokoˊ-i taˊnuk mōn cokiyaˊ-i &lt;ōˊtsi&gt; taneˊ-uts]                     
          242) šokóy tanùk mo·n šakiyáhi tannéw [óci]                               
               šokoy tanuk mo·n šak-ø-iyahi       tan-hew   oci                     
               chief one all  3PLO-3STATS-be.ahead of other-PL above                
               ‘One chief was ahead in regard to all things above the others.’ (1932:9:10-11)</t>
  </si>
  <si>
    <t xml:space="preserve">{ā́sh lā́k tsík íti}</t>
  </si>
  <si>
    <t xml:space="preserve">á·š lá·k cí·k íti</t>
  </si>
  <si>
    <t xml:space="preserve">a-iš      ø-la·k         ci·k ø-íti</t>
  </si>
  <si>
    <t xml:space="preserve">this.one-foc 3STATS-be.strong two 3STATS-be.in.front</t>
  </si>
  <si>
    <t xml:space="preserve">‘This person is the stronger of the two.’ (Gatschet 1885b:81)</t>
  </si>
  <si>
    <t xml:space="preserve">{ā́sh lā́k tsík íti}                                                 
          244) á·š lá·k cí·k íti                                                    
               a-iš      ø-la·k         ci·k ø-íti                                  
               this.one-foc 3STATS-be.strong two 3STATS-be.in.front                 
               ‘This person is the stronger of the two.’ (Gatschet 1885b:81)</t>
  </si>
  <si>
    <t xml:space="preserve">[tsanuˊkc meˊts iˊti cuˊlut iyeˊmets]</t>
  </si>
  <si>
    <t xml:space="preserve">canúkš mécíti šúlot iyémec</t>
  </si>
  <si>
    <t xml:space="preserve">canuk-š   ø=mec-íti           šul-ot    ø-iye-mec</t>
  </si>
  <si>
    <t xml:space="preserve">horse-FOC 3STATS-be.tall-be.in.front dog-DIR 3STATS-be.more-be.tall</t>
  </si>
  <si>
    <t xml:space="preserve">‘The horse is taller; it is taller than the dog.’ (1932:55:1)</t>
  </si>
  <si>
    <t xml:space="preserve">[tsanuˊkc meˊts iˊti cuˊlut iyeˊmets]                                
          245) canúkš mécíti šúlot iyémec                                           
               canuk-š   ø=mec-íti           šul-ot    ø-iye-mec                    
               horse-FOC 3STATS-be.tall-be.in.front dog-DIR 3STATS-be.more-be.tall  
               ‘The horse is taller; it is taller than the dog.’ (1932:55:1)</t>
  </si>
  <si>
    <t xml:space="preserve">[hiōl waˊcin iˊti haˊ ēˊñ Toussaint]</t>
  </si>
  <si>
    <t xml:space="preserve">hiyó·l wášiŋíti ha é·ŋ &lt;Toussaint&gt;</t>
  </si>
  <si>
    <t xml:space="preserve">hiyo·l    ø-wašiŋ-íti              ha   e·ŋ  &lt;Toussaint&gt;</t>
  </si>
  <si>
    <t xml:space="preserve">son       3STATS-be.so.old-be.in.front his name PN</t>
  </si>
  <si>
    <t xml:space="preserve">‘Her older son’s name is Toussaint.’ (1932:15:81-82)</t>
  </si>
  <si>
    <t xml:space="preserve">[hiōl waˊcin iˊti haˊ ēˊñ Toussaint]                                 
          246) hiyó·l wášiŋíti ha é·ŋ &lt;Toussaint&gt;                                   
               hiyo·l    ø-wašiŋ-íti              ha   e·ŋ  &lt;Toussaint&gt;             
               son       3STATS-be.so.old-be.in.front his name PN                   
               ‘Her older son’s name is Toussaint.’ (1932:15:81-82)</t>
  </si>
  <si>
    <t xml:space="preserve">[ipcoˊx̥ kuˊl]</t>
  </si>
  <si>
    <t xml:space="preserve">ipšókul</t>
  </si>
  <si>
    <t xml:space="preserve">ipšok-ul</t>
  </si>
  <si>
    <t xml:space="preserve">doctor-3PLS</t>
  </si>
  <si>
    <t xml:space="preserve">‘They are doctors.’ (1932:49:2)</t>
  </si>
  <si>
    <t xml:space="preserve">[ipcoˊx̥ kuˊl]                                                       
          256) ipšókul                                                              
               ipšok-ul                                                             
               doctor-3PLS                                                          
               ‘They are doctors.’ (1932:49:2)</t>
  </si>
  <si>
    <t xml:space="preserve">[wic hi-ipcoˊkat]</t>
  </si>
  <si>
    <t xml:space="preserve">wí·š hiipšókat</t>
  </si>
  <si>
    <t xml:space="preserve">wi-iš hi-ipšók-at</t>
  </si>
  <si>
    <t xml:space="preserve">I-foc 1SSTATS-doctor-PRET</t>
  </si>
  <si>
    <t xml:space="preserve">‘I was a doctor.’ (1932:49:2)</t>
  </si>
  <si>
    <t xml:space="preserve">[wic hi-ipcoˊkat]                                                    
          257) wí·š hiipšókat                                                       
               wi-iš hi-ipšók-at                                                    
               I-foc 1SSTATS-doctor-PRET                                            
               ‘I was a doctor.’ (1932:49:2)</t>
  </si>
  <si>
    <t xml:space="preserve">ipšókehe</t>
  </si>
  <si>
    <t xml:space="preserve">ø-ipšok-ehe</t>
  </si>
  <si>
    <t xml:space="preserve">3STATS-doctor-DUB</t>
  </si>
  <si>
    <t xml:space="preserve">‘He might be a doctor.’ (1932:49:2)</t>
  </si>
  <si>
    <t xml:space="preserve">258) ipšókehe                                                             
               ø-ipšok-ehe                                                          
               3STATS-doctor-DUB                                                    
               ‘He might be a doctor.’ (1932:49:2)</t>
  </si>
  <si>
    <t xml:space="preserve">[ipcotikit]</t>
  </si>
  <si>
    <t xml:space="preserve">ipšóttikit</t>
  </si>
  <si>
    <t xml:space="preserve">ø-ipšok-tikit</t>
  </si>
  <si>
    <t xml:space="preserve">3STATS-doctor-FUT</t>
  </si>
  <si>
    <t xml:space="preserve">‘He will be a doctor.’ (1932:49:2)</t>
  </si>
  <si>
    <t xml:space="preserve">[ipcotikit]                                                          
          259) ipšóttikit                                                           
               ø-ipšok-tikit                                                        
               3STATS-doctor-FUT                                                    
               ‘He will be a doctor.’ (1932:49:2)</t>
  </si>
  <si>
    <t xml:space="preserve">[yaˊ cuˊl haˊkit kiñ]</t>
  </si>
  <si>
    <t xml:space="preserve">yá šúl hakìt kìŋ</t>
  </si>
  <si>
    <t xml:space="preserve">ya   šul  hakit ø-kìŋ</t>
  </si>
  <si>
    <t xml:space="preserve">that dog  their 3STATS-be.pet</t>
  </si>
  <si>
    <t xml:space="preserve">‘That dog is their pet.’ (1932:117:1)</t>
  </si>
  <si>
    <t xml:space="preserve">[yaˊ cuˊl haˊkit kiñ]                                                
          261) yá šúl hakìt kìŋ                                                     
               ya   šul  hakit ø-kìŋ                                                
               that dog  their 3STATS-be.pet                                        
               ‘That dog is their pet.’ (1932:117:1)</t>
  </si>
  <si>
    <t xml:space="preserve">[wi anˊ nē-tsaˊx̥ kip]</t>
  </si>
  <si>
    <t xml:space="preserve">wi aŋ ne·cákip</t>
  </si>
  <si>
    <t xml:space="preserve">wi   áŋ   ø-ne·-cak-ip</t>
  </si>
  <si>
    <t xml:space="preserve">my   house 3STATS-land-dry-INESS.be</t>
  </si>
  <si>
    <t xml:space="preserve">‘My house is on dry land.’ (1932:28:2)</t>
  </si>
  <si>
    <t xml:space="preserve">[wi anˊ nē-tsaˊx̥ kip]                                               
          262) wi aŋ ne·cákip                                                       
               wi   áŋ   ø-ne·-cak-ip                                               
               my   house 3STATS-land-dry-INESS.be                                  
               ‘My house is on dry land.’ (1932:28:2)</t>
  </si>
  <si>
    <t xml:space="preserve">[yuk’hiˊti cakimōc-neˊkin haˊ]</t>
  </si>
  <si>
    <t xml:space="preserve">yukhíti šakhimo·šné·kinháh</t>
  </si>
  <si>
    <t xml:space="preserve">yukhiti   ø-šakhimo·šne·-kin-hah</t>
  </si>
  <si>
    <t xml:space="preserve">Indian    3STATS-cemetery-LOC.be-NEG</t>
  </si>
  <si>
    <t xml:space="preserve">‘She is not in the Indian cemetery.’ (1932:15:90)</t>
  </si>
  <si>
    <t xml:space="preserve">[yuk’hiˊti cakimōc-neˊkin haˊ]                                       
          263) yukhíti šakhimo·šné·kinháh                                           
               yukhiti   ø-šakhimo·šne·-kin-hah                                     
               Indian    3STATS-cemetery-LOC.be-NEG                                 
               ‘She is not in the Indian cemetery.’ (1932:15:90)</t>
  </si>
  <si>
    <t xml:space="preserve">[cakwinēˊ cokwaˊñic yaˊcoktuˊkulet]</t>
  </si>
  <si>
    <t xml:space="preserve">šakwiné šakwaŋišya šaktúkulat</t>
  </si>
  <si>
    <t xml:space="preserve">šak-wine  šak-wáŋ-iš=ya            šak-tuk-ul-at</t>
  </si>
  <si>
    <t xml:space="preserve">3PLO-find 3PLO-go.about-CAUS=and   3pl-bring-3pls-pret</t>
  </si>
  <si>
    <t xml:space="preserve">‘They find them, drive them, and bring them.’ (1932:13:60)</t>
  </si>
  <si>
    <t xml:space="preserve">[cakwinēˊ cokwaˊñic yaˊcoktuˊkulet]                                  
          266) šakwiné šakwaŋišya šaktúkulat                                        
               šak-wine  šak-wáŋ-iš=ya            šak-tuk-ul-at                     
               3PLO-find 3PLO-go.about-CAUS=and   3pl-bring-3pls-pret               
               ‘They find them, drive them, and bring them.’ (1932:13:60)</t>
  </si>
  <si>
    <t xml:space="preserve">[kidcoˊmc npuˊnsĕn laˊ-u ka]</t>
  </si>
  <si>
    <t xml:space="preserve">kicóŋš n̥púnsen láw ká</t>
  </si>
  <si>
    <t xml:space="preserve">kicoŋš    n̥-puns-en     law  ka-ø</t>
  </si>
  <si>
    <t xml:space="preserve">fire      2SSTATS-blow.on-IF burn make-2/3S</t>
  </si>
  <si>
    <t xml:space="preserve">‘If you blow on a fire, it makes it burn.’ (1932:67:1)</t>
  </si>
  <si>
    <t xml:space="preserve">[kidcoˊmc npuˊnsĕn laˊ-u ka]                                         
          267) kicóŋš n̥púnsen láw ká                                               
               kicoŋš    n̥-puns-en     law  ka-ø                                   
               fire      2SSTATS-blow.on-IF burn make-2/3S                          
               ‘If you blow on a fire, it makes it burn.’ (1932:67:1)</t>
  </si>
  <si>
    <t xml:space="preserve">[wi makaˊu naˊuco]</t>
  </si>
  <si>
    <t xml:space="preserve">wí makáw náwšo</t>
  </si>
  <si>
    <t xml:space="preserve">wi   makáw     náwš-o</t>
  </si>
  <si>
    <t xml:space="preserve">I    fall(sg)  let-1SS</t>
  </si>
  <si>
    <t xml:space="preserve">‘I make it fall.’ (1932:78:2)</t>
  </si>
  <si>
    <t xml:space="preserve">[wi makaˊu naˊuco]                                                   
          268) wí makáw náwšo                                                       
               wi   makáw     náwš-o                                                
               I    fall(sg)  let-1SS                                               
               ‘I make it fall.’ (1932:78:2)</t>
  </si>
  <si>
    <t xml:space="preserve">[Ickiciˊl nīt keˊat. Hiōˊl hāˊxcat]</t>
  </si>
  <si>
    <t xml:space="preserve">iškišíl ní·t kéat hiyó·l háhšat</t>
  </si>
  <si>
    <t xml:space="preserve">iškišil   ni·t ø-ke-at        hiyo·l    ø-hahš-at</t>
  </si>
  <si>
    <t xml:space="preserve">daughter  five 3STATS-have-PRET son     3SSTATS-not.have-PRET</t>
  </si>
  <si>
    <t xml:space="preserve">‘He had five daughters; he had no sons.’ (1932:16:97-98)</t>
  </si>
  <si>
    <t xml:space="preserve">[Ickiciˊl nīt keˊat. Hiōˊl hāˊxcat]                                  
          270) iškišíl ní·t kéat hiyó·l háhšat                                      
               iškišil   ni·t ø-ke-at        hiyo·l    ø-hahš-at                    
               daughter  five 3STATS-have-PRET son     3SSTATS-not.have-PRET        
               ‘He had five daughters; he had no sons.’ (1932:16:97-98)</t>
  </si>
  <si>
    <t xml:space="preserve">[caˊkiol katnaˊu cak ́āˊx̥ c]</t>
  </si>
  <si>
    <t xml:space="preserve">šakyòl katnáw šakháhš</t>
  </si>
  <si>
    <t xml:space="preserve">šakyol    katnaw    šak-hahš</t>
  </si>
  <si>
    <t xml:space="preserve">man       beard     3PLSTATS-not.have</t>
  </si>
  <si>
    <t xml:space="preserve">‘Men do not have beards.’ (1932:10:24)</t>
  </si>
  <si>
    <t xml:space="preserve">[caˊkiol katnaˊu cak ́āˊx̥ c]                                        
          271) šakyòl katnáw šakháhš                                                
               šakyol    katnaw    šak-hahš                                         
               man       beard     3PLSTATS-not.have                                
               ‘Men do not have beards.’ (1932:10:24)</t>
  </si>
  <si>
    <t xml:space="preserve">{na há ‘n ámeat}</t>
  </si>
  <si>
    <t xml:space="preserve">ná há n̥ ámiat</t>
  </si>
  <si>
    <t xml:space="preserve">ná        há   n̥-ámi-at</t>
  </si>
  <si>
    <t xml:space="preserve">you(sg)   s/he 2SSTATS-give.drink-PRET</t>
  </si>
  <si>
    <t xml:space="preserve">‘You gave him something to drink.’ (Gatschet, 1885c[8])</t>
  </si>
  <si>
    <t xml:space="preserve">{na há ‘n ámeat}                                                     
          272) ná há n̥ ámiat                                                       
               ná        há   n̥-ámi-at                                             
               you(sg)   s/he 2SSTATS-give.drink-PRET                               
               ‘You gave him something to drink.’ (Gatschet, 1885c[8])</t>
  </si>
  <si>
    <t xml:space="preserve">[ha icāˊt ha uˊc mōn naˊ-ucĕm]</t>
  </si>
  <si>
    <t xml:space="preserve">ha išá·t ha úš mo·n náwšim</t>
  </si>
  <si>
    <t xml:space="preserve">ha   iša·t ha  uš   mo·n ø-naw-šim</t>
  </si>
  <si>
    <t xml:space="preserve">his  head his  body all  3STATS-hair-NOTHING.BUT</t>
  </si>
  <si>
    <t xml:space="preserve">‘His head and his whole body were nothing but hair.’ (1932:11:33-34)</t>
  </si>
  <si>
    <t xml:space="preserve">[ha icāˊt ha uˊc mōn naˊ-ucĕm]                                       
          273) ha išá·t ha úš mo·n náwšim                                           
               ha   iša·t ha  uš   mo·n ø-naw-šim                                   
               his  head his  body all  3STATS-hair-NOTHING.BUT                     
               ‘His head and his whole body were nothing but hair.’ (1932:11:33-34)</t>
  </si>
  <si>
    <t xml:space="preserve">[Yukiˊt noˊmcsĕm tuhtsĕl yukiˊt nuk]</t>
  </si>
  <si>
    <t xml:space="preserve">yukít nómšsim túhcel yukít nuk</t>
  </si>
  <si>
    <t xml:space="preserve">yukit ø-nomš-šim         tuh-cel        yukit nuk</t>
  </si>
  <si>
    <t xml:space="preserve">we   3STATS-child-NOTHING.BUT stay(pl)-1PLS we alone</t>
  </si>
  <si>
    <t xml:space="preserve">‘It was nothing but us children; we stayed there all by ourselves.’ (1932:17:107-08)</t>
  </si>
  <si>
    <t xml:space="preserve">[Yukiˊt noˊmcsĕm tuhtsĕl yukiˊt nuk]                                 
          274) yukít nómšsim túhcel yukít nuk                                       
               yukit ø-nomš-šim         tuh-cel        yukit nuk                    
               we   3STATS-child-NOTHING.BUT stay(pl)-1PLS we alone                 
               ‘It was nothing but us children; we stayed there all by ourselves.’ (1932:17:107-08)</t>
  </si>
  <si>
    <t xml:space="preserve">[cokiōˊl noˊmc hakīˊt cukiōlc-hatkeˊ mōn luˊcĕm taˊlcĕm]</t>
  </si>
  <si>
    <t xml:space="preserve">šakyólnómš hakít šakyólšokhatké mó·n lúšim tálšim</t>
  </si>
  <si>
    <t xml:space="preserve">šakyol-nomš hakit šakyol-šokhatke mo·n ø-lu-šim</t>
  </si>
  <si>
    <t xml:space="preserve">male-child their male-clothing all 3STATS-dirt-NOTHING.BUT</t>
  </si>
  <si>
    <t xml:space="preserve">ø-tal-šim</t>
  </si>
  <si>
    <t xml:space="preserve">3STATS-hole-NOTHING.BUT</t>
  </si>
  <si>
    <t xml:space="preserve">‘The boys’ trousers are nothing but dirt and nothing but holes.’ (1932:14:65)</t>
  </si>
  <si>
    <t xml:space="preserve">[cokiōˊl noˊmc hakīˊt cukiōlc-hatkeˊ mōn luˊcĕm taˊlcĕm]             
          275) šakyólnómš hakít šakyólšokhatké mó·n lúšim tálšim                    
               šakyol-nomš hakit šakyol-šokhatke mo·n ø-lu-šim                      
               male-child their male-clothing all 3STATS-dirt-NOTHING.BUT           
               ø-tal-šim                                                            
               3STATS-hole-NOTHING.BUT                                              
               ‘The boys’ trousers are nothing but dirt and nothing but holes.’ (1932:14:65)</t>
  </si>
  <si>
    <t xml:space="preserve">[icāk icaˊt-sĭm]</t>
  </si>
  <si>
    <t xml:space="preserve">iša·k išá·tsim</t>
  </si>
  <si>
    <t xml:space="preserve">iša·k     ø-iša·t-šim</t>
  </si>
  <si>
    <t xml:space="preserve">person    3STATS-head-NOTHING.BUT</t>
  </si>
  <si>
    <t xml:space="preserve">‘The man is bareheaded.’ (1932:109:1)</t>
  </si>
  <si>
    <t xml:space="preserve">[icāk icaˊt-sĭm]                                                     
          276) iša·k išá·tsim                                                       
               iša·k     ø-iša·t-šim                                                
               person    3STATS-head-NOTHING.BUT                                    
               ‘The man is bareheaded.’ (1932:109:1)</t>
  </si>
  <si>
    <t xml:space="preserve">iša·k hiká·tsim</t>
  </si>
  <si>
    <t xml:space="preserve">iša·k     ø-hika·t-šim</t>
  </si>
  <si>
    <t xml:space="preserve">person    3STATS-foot-NOTHING.BUT</t>
  </si>
  <si>
    <t xml:space="preserve">‘The man is barefoot.’ (1932:108:2)</t>
  </si>
  <si>
    <t xml:space="preserve">277) iša·k hiká·tsim                                                      
               iša·k     ø-hika·t-šim                                               
               person    3STATS-foot-NOTHING.BUT                                    
               ‘The man is barefoot.’ (1932:108:2)</t>
  </si>
  <si>
    <t xml:space="preserve">{nésh hatsā́tskit}</t>
  </si>
  <si>
    <t xml:space="preserve">néš haccá·ckit</t>
  </si>
  <si>
    <t xml:space="preserve">neš  hat-ca·c-kit</t>
  </si>
  <si>
    <t xml:space="preserve">wood REFLEX-crack-PROG(SG)</t>
  </si>
  <si>
    <t xml:space="preserve">‘The wood is cracking.’ (Gatschet, 1885b:131)</t>
  </si>
  <si>
    <t xml:space="preserve">{nésh hatsā́tskit}                                                   
          278) néš haccá·ckit                                                       
               neš  hat-ca·c-kit                                                    
               wood REFLEX-crack-PROG(SG)                                           
               ‘The wood is cracking.’ (Gatschet, 1885b:131)</t>
  </si>
  <si>
    <t xml:space="preserve">[taˊ-ucokcokwaˊnkit]</t>
  </si>
  <si>
    <t xml:space="preserve">tawšokšokwánkit</t>
  </si>
  <si>
    <t xml:space="preserve">taw-,šok,šok-ø-wan-kit</t>
  </si>
  <si>
    <t xml:space="preserve">STAND-,REDUP,STH-3STATS-speak-PROG</t>
  </si>
  <si>
    <t xml:space="preserve">‘He is standing and saying something repeatedly, i.e. he is preaching.’ (1932:123:2)</t>
  </si>
  <si>
    <t xml:space="preserve">[taˊ-ucokcokwaˊnkit]                                                 
          292) tawšokšokwánkit                                                      
               taw-,šok,šok-ø-wan-kit                                               
               STAND-,REDUP,STH-3STATS-speak-PROG                                   
               ‘He is standing and saying something repeatedly, i.e. he is preaching.’ (1932:123:2)</t>
  </si>
  <si>
    <t xml:space="preserve">[Kitsāˊk cakpiˊx̥ k yaˊ paˊm (h)okpaˊmiculat]</t>
  </si>
  <si>
    <t xml:space="preserve">kicá·k šakpíhkya pámhokpámišulat</t>
  </si>
  <si>
    <t xml:space="preserve">kica·k-šak-pihk-ya       pam,hok,pam-iš-ul-at</t>
  </si>
  <si>
    <t xml:space="preserve">whiskey-3PLSTATS-be.dead(pl)-and REDUP,RECIP,beat-CAUS-3PLS-PRET</t>
  </si>
  <si>
    <t xml:space="preserve">‘They were drunk and they really beat each other up.’ (1932:20:145)</t>
  </si>
  <si>
    <t xml:space="preserve">[Kitsāˊk cakpiˊx̥ k yaˊ paˊm (h)okpaˊmiculat]                        
          297) kicá·k šakpíhkya pámhokpámišulat                                     
               kica·k-šak-pihk-ya       pam,hok,pam-iš-ul-at                        
               whiskey-3PLSTATS-be.dead(pl)-and REDUP,RECIP,beat-CAUS-3PLS-PRET     
               ‘They were drunk and they really beat each other up.’ (1932:20:145)</t>
  </si>
  <si>
    <t xml:space="preserve">[Taneˊ-u tuˊlkin paˊk-cakpaˊkicat]</t>
  </si>
  <si>
    <t xml:space="preserve">tannéw túlkin pákšakpákišat</t>
  </si>
  <si>
    <t xml:space="preserve">tan-hew   tul-kin   pak,šak,pakiš-at</t>
  </si>
  <si>
    <t xml:space="preserve">other-PL  lake-loc  REDUP,3PLOBJ,throw-PRET</t>
  </si>
  <si>
    <t xml:space="preserve">‘They threw some of them again and again into the lake. (1932:20:146)</t>
  </si>
  <si>
    <t xml:space="preserve">[Taneˊ-u tuˊlkin paˊk-cakpaˊkicat]                                   
          298) tannéw túlkin pákšakpákišat                                          
               tan-hew   tul-kin   pak,šak,pakiš-at                                 
               other-PL  lake-loc  REDUP,3PLOBJ,throw-PRET                          
               ‘They threw some of them again and again into the lake. (1932:20:146)</t>
  </si>
  <si>
    <t xml:space="preserve">[ciwaˊn anpāˊkc koˊnkit]</t>
  </si>
  <si>
    <t xml:space="preserve">šiwán anpákš kóŋkit</t>
  </si>
  <si>
    <t xml:space="preserve">šiwan-ø   anpakš-ø  ø-koŋ-kit</t>
  </si>
  <si>
    <t xml:space="preserve">cat-ABS   mouse-ABS 3STATS-seize-PROG(SG)</t>
  </si>
  <si>
    <t xml:space="preserve">‘The cat is catching a mouse.’ (1932:112)</t>
  </si>
  <si>
    <t xml:space="preserve">[ciwaˊn anpāˊkc koˊnkit]                                             
          301) šiwán anpákš kóŋkit                                                  
               šiwan-ø   anpakš-ø  ø-koŋ-kit                                        
               cat-ABS   mouse-ABS 3STATS-seize-PROG(SG)                            
               ‘The cat is catching a mouse.’ (1932:112)</t>
  </si>
  <si>
    <t xml:space="preserve">[loˊñloñc neˊc kōˊñět]</t>
  </si>
  <si>
    <t xml:space="preserve">lóŋloŋš néš kóŋat</t>
  </si>
  <si>
    <t xml:space="preserve">loŋloŋš-ø neš-ø     ø-koŋ-at</t>
  </si>
  <si>
    <t xml:space="preserve">thunder-ABS tree-ABS 3STATS-seize-PRET</t>
  </si>
  <si>
    <t xml:space="preserve">‘Lightning struck a tree.’ (1932:71)</t>
  </si>
  <si>
    <t xml:space="preserve">[loˊñloñc neˊc kōˊñět]                                               
          302) lóŋloŋš néš kóŋat                                                    
               loŋloŋš-ø neš-ø     ø-koŋ-at                                         
               thunder-ABS tree-ABS 3STATS-seize-PRET                               
               ‘Lightning struck a tree.’ (1932:71)</t>
  </si>
  <si>
    <t xml:space="preserve">[Hilaˊyi taˊxnik paˊmat]</t>
  </si>
  <si>
    <t xml:space="preserve">hiláy tánik pámat</t>
  </si>
  <si>
    <t xml:space="preserve">hilay tan-ik        ø-pam-ø-at</t>
  </si>
  <si>
    <t xml:space="preserve">wife other-ERG.AGNT 3SOBJ-beat-3SS-PRET</t>
  </si>
  <si>
    <t xml:space="preserve">‘Another wife beat him.’ (1932:10:17)</t>
  </si>
  <si>
    <t xml:space="preserve">[Hilaˊyi taˊxnik paˊmat]                                             
          304) hiláy tánik pámat                                                    
               hilay tan-ik        ø-pam-ø-at                                       
               wife other-ERG.AGNT 3SOBJ-beat-3SS-PRET                              
               ‘Another wife beat him.’ (1932:10:17)</t>
  </si>
  <si>
    <t xml:space="preserve">{ishlá-ush tátik nimá-at}</t>
  </si>
  <si>
    <t xml:space="preserve">hišláwš tá·tik nimáat</t>
  </si>
  <si>
    <t xml:space="preserve">hišlawš   ta·t-ik        ø-nima-ø-at</t>
  </si>
  <si>
    <t xml:space="preserve">fever     yellow-ERG.AGNT 3SOBJ-kill-3SS-PRET</t>
  </si>
  <si>
    <t xml:space="preserve">‘Yellow fever killed her.’ (Gatschet,1885b:163)</t>
  </si>
  <si>
    <t xml:space="preserve">{ishlá-ush tátik nimá-at}                                            
          305) hišláwš tá·tik nimáat                                                
               hišlawš   ta·t-ik        ø-nima-ø-at                                 
               fever     yellow-ERG.AGNT 3SOBJ-kill-3SS-PRET                        
               ‘Yellow fever killed her.’ (Gatschet,1885b:163)</t>
  </si>
  <si>
    <t xml:space="preserve">[wi k cakiˊnu]</t>
  </si>
  <si>
    <t xml:space="preserve">wí·k šakínu</t>
  </si>
  <si>
    <t xml:space="preserve">wi-ik     šak-in-o</t>
  </si>
  <si>
    <t xml:space="preserve">I-ERG.AGNT 3PLOBJ-ask-1SS</t>
  </si>
  <si>
    <t xml:space="preserve">‘I ask them.’ (1932:47:2)</t>
  </si>
  <si>
    <t xml:space="preserve">[wi k cakiˊnu]                                                       
          306) wí·k šakínu                                                          
               wi-ik     šak-in-o                                                   
               I-ERG.AGNT 3PLOBJ-ask-1SS                                            
               ‘I ask them.’ (1932:47:2)</t>
  </si>
  <si>
    <t xml:space="preserve">[kucmeˊlik nimaˊat]</t>
  </si>
  <si>
    <t xml:space="preserve">kušmé·lik nimáat</t>
  </si>
  <si>
    <t xml:space="preserve">kušme·l-ik          ø-nima-ø-at</t>
  </si>
  <si>
    <t xml:space="preserve">black.person-ERG.AGNT 3SOBJ-kill-3SS-PRET</t>
  </si>
  <si>
    <t xml:space="preserve">‘A black person killed him.’ (1932:91:2)</t>
  </si>
  <si>
    <t xml:space="preserve">[kucmeˊlik nimaˊat]                                                  
          307) kušmé·lik nimáat                                                     
               kušme·l-ik          ø-nima-ø-at                                      
               black.person-ERG.AGNT 3SOBJ-kill-3SS-PRET                            
               ‘A black person killed him.’ (1932:91:2)</t>
  </si>
  <si>
    <t xml:space="preserve">{wi hitét hikipámĕt}</t>
  </si>
  <si>
    <t xml:space="preserve">wi hité·tik hipámat</t>
  </si>
  <si>
    <t xml:space="preserve">wi hite·t-ik        hi-pam-ø-at</t>
  </si>
  <si>
    <t xml:space="preserve">my father-ERG.AGNT  1SOBJ-beat-3SS-PRET</t>
  </si>
  <si>
    <t xml:space="preserve">‘My father beat me.’ (Gatschet, 1885b:55)</t>
  </si>
  <si>
    <t xml:space="preserve">{wi hitét hikipámĕt}                                                 
          308) wi hité·tik hipámat                                                  
               wi hite·t-ik        hi-pam-ø-at                                      
               my father-ERG.AGNT  1SOBJ-beat-3SS-PRET                              
               ‘My father beat me.’ (Gatschet, 1885b:55)</t>
  </si>
  <si>
    <t xml:space="preserve">{odsé hikitsáwet}</t>
  </si>
  <si>
    <t xml:space="preserve">océhik hicáwat</t>
  </si>
  <si>
    <t xml:space="preserve">oceh-ik        hi-caw-ø-at</t>
  </si>
  <si>
    <t xml:space="preserve">snake-ERG.AGNT 1SOBJ-bite-3SS-PRET</t>
  </si>
  <si>
    <t xml:space="preserve">‘A snake bit me.’ (Gatschet, 1885b:56)</t>
  </si>
  <si>
    <t xml:space="preserve">{odsé hikitsáwet}                                                    
          309) océhik hicáwat                                                       
               oceh-ik        hi-caw-ø-at                                           
               snake-ERG.AGNT 1SOBJ-bite-3SS-PRET                                   
               ‘A snake bit me.’ (Gatschet, 1885b:56)</t>
  </si>
  <si>
    <t xml:space="preserve">{shāk hiwálshat}</t>
  </si>
  <si>
    <t xml:space="preserve">šá·k hiwálšat</t>
  </si>
  <si>
    <t xml:space="preserve">ša-ik          hi-walš-ø-at</t>
  </si>
  <si>
    <t xml:space="preserve">someone-ERG.AGNT 1SOBJ-fan-3SS-PRET</t>
  </si>
  <si>
    <t xml:space="preserve">‘Someone fanned me.’ (Gatschet, 1885b:32)</t>
  </si>
  <si>
    <t xml:space="preserve">{shāk hiwálshat}                                                     
          310) šá·k hiwálšat                                                        
               ša-ik          hi-walš-ø-at                                          
               someone-ERG.AGNT 1SOBJ-fan-3SS-PRET                                  
               ‘Someone fanned me.’ (Gatschet, 1885b:32)</t>
  </si>
  <si>
    <t xml:space="preserve">[wi caknoˊmc puˊckin wāˊñ aˊñkāˊmctit coˊktokcik]</t>
  </si>
  <si>
    <t xml:space="preserve">wi šaknómš púškin waŋaŋkámštit šóktokšik</t>
  </si>
  <si>
    <t xml:space="preserve">wi   šak-nomš puškin ø-waŋ-aŋkamš-tit             šoktokš-ik</t>
  </si>
  <si>
    <t xml:space="preserve">my   PL-child outside 3STATS-go.about-play(pl)-PROGRESS(PL) ball-ERG.INSTR</t>
  </si>
  <si>
    <t xml:space="preserve">‘My children are going about outside playing with a ball.’ (1932:13:63)</t>
  </si>
  <si>
    <t xml:space="preserve">[wi caknoˊmc puˊckin wāˊñ aˊñkāˊmctit coˊktokcik]                    
          322) wi šaknómš púškin waŋaŋkámštit šóktokšik                             
               wi   šak-nomš puškin ø-waŋ-aŋkamš-tit             šoktokš-ik         
               my   PL-child outside 3STATS-go.about-play(pl)-PROGRESS(PL) ball-ERG.INSTR
               ‘My children are going about outside playing with a ball.’ (1932:13:63)</t>
  </si>
  <si>
    <t xml:space="preserve">wí néš páyšik támšo</t>
  </si>
  <si>
    <t xml:space="preserve">wi   néš       páyš-ik   tám-š-o</t>
  </si>
  <si>
    <t xml:space="preserve">I    wood      axe-ERG.INSTR split-CAUS-1SS</t>
  </si>
  <si>
    <t xml:space="preserve">‘I split a block of wood with an axe.’ (1932:126:1)</t>
  </si>
  <si>
    <t xml:space="preserve">323) wí néš páyšik támšo                                                  
               wi   néš       páyš-ik   tám-š-o                                     
               I    wood      axe-ERG.INSTR split-CAUS-1SS                          
               ‘I split a block of wood with an axe.’ (1932:126:1)</t>
  </si>
  <si>
    <t xml:space="preserve">[īclaˊ-uc tāˊtik kaˊwat]</t>
  </si>
  <si>
    <t xml:space="preserve">hišláwš tá·tik káwat</t>
  </si>
  <si>
    <t xml:space="preserve">hišlawš   ta·t-ik        ø-kaw-at</t>
  </si>
  <si>
    <t xml:space="preserve">fever     yellow-ERG.INSTR 3SSTATS-die-PRET</t>
  </si>
  <si>
    <t xml:space="preserve">‘She died of yellow fever. (1932:15:88)</t>
  </si>
  <si>
    <t xml:space="preserve">[īclaˊ-uc tāˊtik kaˊwat]                                             
          313) hišláwš tá·tik káwat                                                 
               hišlawš   ta·t-ik        ø-kaw-at                                    
               fever     yellow-ERG.INSTR 3SSTATS-die-PRET                          
               ‘She died of yellow fever. (1932:15:88)</t>
  </si>
  <si>
    <t xml:space="preserve">[eluˊik hicok’hēˊcat]</t>
  </si>
  <si>
    <t xml:space="preserve">ilúik hišoké·šat</t>
  </si>
  <si>
    <t xml:space="preserve">ilu-ik         hi-šoke·š-at</t>
  </si>
  <si>
    <t xml:space="preserve">heat-ERG.INSTR 1SSTATS-be.sick-PRET</t>
  </si>
  <si>
    <t xml:space="preserve">‘I became sick from the heat.’ (1932:47:2)</t>
  </si>
  <si>
    <t xml:space="preserve">[eluˊik hicok’hēˊcat]                                                
          314) ilúik hišoké·šat                                                     
               ilu-ik         hi-šoke·š-at                                          
               heat-ERG.INSTR 1SSTATS-be.sick-PRET                                  
               ‘I became sick from the heat.’ (1932:47:2)</t>
  </si>
  <si>
    <t xml:space="preserve">{wá-ush hikiláwĕt}</t>
  </si>
  <si>
    <t xml:space="preserve">wáwšik hiláwat</t>
  </si>
  <si>
    <t xml:space="preserve">wawš-ik        hi-law-at</t>
  </si>
  <si>
    <t xml:space="preserve">steam-ERG.INSTR 1SSTATS-burn-PRET</t>
  </si>
  <si>
    <t xml:space="preserve">‘I got burned by the steam.’ (Gatschet, 1885b:55)</t>
  </si>
  <si>
    <t xml:space="preserve">{wá-ush hikiláwĕt}                                                   
          315) wáwšik hiláwat                                                       
               wawš-ik        hi-law-at                                             
               steam-ERG.INSTR 1SSTATS-burn-PRET                                    
               ‘I got burned by the steam.’ (Gatschet, 1885b:55)</t>
  </si>
  <si>
    <t xml:space="preserve">[luˊ itka aˊmcne]</t>
  </si>
  <si>
    <t xml:space="preserve">lúik ká ámšne</t>
  </si>
  <si>
    <t xml:space="preserve">lu-ik          ka   am-š-ne</t>
  </si>
  <si>
    <t xml:space="preserve">clay-ERG.INSTR made drink-CAUS-GER</t>
  </si>
  <si>
    <t xml:space="preserve">‘drinking vessel made of clay’ (1928:77:2)</t>
  </si>
  <si>
    <t xml:space="preserve">[luˊ itka aˊmcne]                                                    
          317) lúik ká ámšne                                                        
               lu-ik          ka   am-š-ne                                          
               clay-ERG.INSTR made drink-CAUS-GER                                   
               ‘drinking vessel made of clay’ (1928:77:2)</t>
  </si>
  <si>
    <t xml:space="preserve">[Yukiˊti Icaˊt toˊkc coxkoˊ-i waˊci kaˊwĕt]</t>
  </si>
  <si>
    <t xml:space="preserve">yukhíti iša·ttókš šokóy wáši káwat</t>
  </si>
  <si>
    <t xml:space="preserve">yukhiti   iša·ttókš šokoy waši-ø   ø-kawat</t>
  </si>
  <si>
    <t xml:space="preserve">Indian    PN        chief old-ABS  3STATS-die-PRET</t>
  </si>
  <si>
    <t xml:space="preserve">‘The Indian, Iša·ttokš, the old chief, died.’ (1932:13:54)</t>
  </si>
  <si>
    <t xml:space="preserve">[Yukiˊti Icaˊt toˊkc coxkoˊ-i waˊci kaˊwĕt]                          
          318) yukhíti iša·ttókš šokóy wáši káwat                                   
               yukhiti   iša·ttókš šokoy waši-ø   ø-kawat                           
               Indian    PN        chief old-ABS  3STATS-die-PRET                   
               ‘The Indian, Iša·ttokš, the old chief, died.’ (1932:13:54)</t>
  </si>
  <si>
    <t xml:space="preserve">čakta3    yukhiti   iša·thatyincne-ø hinakka šak-ke-at</t>
  </si>
  <si>
    <t xml:space="preserve">Choctaw   Indian    crown-ABS      like      3PLSTATS-have-PRET</t>
  </si>
  <si>
    <t xml:space="preserve">319) čákta yukhíti iša·thatyíncne hinákka šakkéat                         
               čakta3    yukhiti   iša·thatyincne-ø hinakka šak-ke-at               
               Choctaw   Indian    crown-ABS      like      3PLSTATS-have-PRET      
               ‘The Choctaw Indians had crowns in the same way.’ (1932:19:136-37)</t>
  </si>
  <si>
    <t xml:space="preserve">[Icāk cokcaktsăñc konˊuˊhts]</t>
  </si>
  <si>
    <t xml:space="preserve">iša·k šokšakcáŋš kóŋ úhc</t>
  </si>
  <si>
    <t xml:space="preserve">iša·k     šok-šak-caŋš-ø koŋ  ø-uhc</t>
  </si>
  <si>
    <t xml:space="preserve">person    STH-3PLO-steal -ABS sieze 3PLSTATS-be.able</t>
  </si>
  <si>
    <t xml:space="preserve">‘They can catch the thief.’ (1932:13:61)</t>
  </si>
  <si>
    <t xml:space="preserve">[Icāk cokcaktsăñc konˊuˊhts]                                         
          320) iša·k šokšakcáŋš kóŋ úhc                                             
               iša·k     šok-šak-caŋš-ø koŋ  ø-uhc                                  
               person    STH-3PLO-steal -ABS sieze 3PLSTATS-be.able                 
               ‘They can catch the thief.’ (1932:13:61)</t>
  </si>
  <si>
    <t xml:space="preserve">iša·k šappíhk šakláwiulháhat</t>
  </si>
  <si>
    <t xml:space="preserve">iša·k     šak-pihk-ø     šak-law-i-ul-hah-at</t>
  </si>
  <si>
    <t xml:space="preserve">person    PL-die(pl)-ABS 3PLOBJ-burn-CAUS-3PLS-NEG-PRET</t>
  </si>
  <si>
    <t xml:space="preserve">[Iˊcak capiˊxk caklaˊwiulhahat]                                      
          321) iša·k šappíhk šakláwiulháhat                                         
               iša·k     šak-pihk-ø     šak-law-i-ul-hah-at                         
               person    PL-die(pl)-ABS 3PLOBJ-burn-CAUS-3PLS-NEG-PRET              
               ‘They did not burn the dead.’ (1932:19:140)</t>
  </si>
  <si>
    <t xml:space="preserve">[Yuk’hiˊti ipcōˊk oˊk yaˊ peˊneat]</t>
  </si>
  <si>
    <t xml:space="preserve">yukhíti ipšók ókya péniat</t>
  </si>
  <si>
    <t xml:space="preserve">yukhiti   ipšok-ø   ok=ya     ø-peni-ø-at</t>
  </si>
  <si>
    <t xml:space="preserve">Indian    doctor-ABS come=and 3OBJ-cure-3SS-PRET</t>
  </si>
  <si>
    <t xml:space="preserve">The Indian doctor came and cured her. (1932:55-56)</t>
  </si>
  <si>
    <t xml:space="preserve">[Yuk’hiˊti ipcōˊk oˊk yaˊ peˊneat]                                   
          322) yukhíti ipšók ókya péniat                                            
               yukhiti   ipšok-ø   ok=ya     ø-peni-ø-at                            
               Indian    doctor-ABS come=and 3OBJ-cure-3SS-PRET                     
               The Indian doctor came and cured her. (1932:55-56)</t>
  </si>
  <si>
    <t xml:space="preserve">[Iyuˊtskin hac okwaˊñc oˊt tiˊcat yaˊ kaˊwat]</t>
  </si>
  <si>
    <t xml:space="preserve">hiyúckin há·š hokwáŋšot tíšatya káwat</t>
  </si>
  <si>
    <t xml:space="preserve">hi-yuc-kin          ha-iš     hokwaŋš-ot ø-tiš-at=ya</t>
  </si>
  <si>
    <t xml:space="preserve">1SSTAS-be.grown-WHEN he-FOC   war-DIR   3STATS-go-PRET=and</t>
  </si>
  <si>
    <t xml:space="preserve">ø-kaw-at</t>
  </si>
  <si>
    <t xml:space="preserve">3STATS-die-PRET</t>
  </si>
  <si>
    <t xml:space="preserve">‘When I was grown, he went to the war and died.’ (1932:16-17:104-05)</t>
  </si>
  <si>
    <t xml:space="preserve">[Iyuˊtskin hac okwaˊñc oˊt tiˊcat yaˊ kaˊwat]                        
          323) hiyúckin há·š hokwáŋšot tíšatya káwat                                
               hi-yuc-kin          ha-iš     hokwaŋš-ot ø-tiš-at=ya                 
               1SSTAS-be.grown-WHEN he-FOC   war-DIR   3STATS-go-PRET=and           
               ø-kaw-at                                                             
               3STATS-die-PRET                                                      
               ‘When I was grown, he went to the war and died.’ (1932:16-17:104-05)</t>
  </si>
  <si>
    <t xml:space="preserve">[Haˊlkin tsīˊpcat Yuk’hiˊti Tuˊl oˊt]                                
          324) hálkin cípšat yukhíti túlot                                          
               halkin    cipš-ø-at      yukhiti   tul-ot                            
               afterwards move-3SS-PRET Indian    lake-DIR                          
               ‘Afterwards he moved to Lake Prien (Indian Lake).’ (1932:16:95)</t>
  </si>
  <si>
    <t xml:space="preserve">[Loˊ yukiˊti haˊl cox̥ koˊyit yuk’hit cakicaˊk ut]</t>
  </si>
  <si>
    <t xml:space="preserve">ló yukhíti halšokóyat yukhitšakiša·kot</t>
  </si>
  <si>
    <t xml:space="preserve">lo   yukhiti   ø-hal-šokoy-at      yukhit-šak-iša·k-ot</t>
  </si>
  <si>
    <t xml:space="preserve">PN   Indian    3STATS-be.last-be.chief-PRET Indian-PL-person-DIR</t>
  </si>
  <si>
    <t xml:space="preserve">‘Lo was the last Indian chief pertaining to the Indian people.’ (1932:10:28)</t>
  </si>
  <si>
    <t xml:space="preserve">[Loˊ yukiˊti haˊl cox̥ koˊyit yuk’hit cakicaˊk ut]                   
          326) ló yukhíti halšokóyat yukhitšakiša·kot                               
               lo   yukhiti   ø-hal-šokoy-at      yukhit-šak-iša·k-ot               
               PN   Indian    3STATS-be.last-be.chief-PRET Indian-PL-person-DIR     
               ‘Lo was the last Indian chief pertaining to the Indian people.’ (1932:10:28)</t>
  </si>
  <si>
    <t xml:space="preserve">[Wāˊñ-pum yaˊ kic tanuˊk taˊxn ut ikāt paˊkĕt]</t>
  </si>
  <si>
    <t xml:space="preserve">wáŋpúmya kíš tanúk tánot iká·t pákat</t>
  </si>
  <si>
    <t xml:space="preserve">waŋ-pum=ya     kiš       tanuk tan-ot</t>
  </si>
  <si>
    <t xml:space="preserve">go.about-dance=and woman one  another-DIR foot</t>
  </si>
  <si>
    <t xml:space="preserve">hika·t ø-pak-ø-at</t>
  </si>
  <si>
    <t xml:space="preserve">3OBJ-step.on-3SS-PRET</t>
  </si>
  <si>
    <t xml:space="preserve">‘They were going about dancing, and one woman stepped on the foot belonging to another.’ (1932:20:141-142)</t>
  </si>
  <si>
    <t xml:space="preserve">[Wāˊñ-pum yaˊ kic tanuˊk taˊxn ut ikāt paˊkĕt]                       
          327) wáŋpúmya kíš tanúk tánot iká·t pákat                                 
               waŋ-pum=ya     kiš       tanuk tan-ot                                
               go.about-dance=and woman one  another-DIR foot                       
               hika·t ø-pak-ø-at                                                    
               3OBJ-step.on-3SS-PRET                                                
               ‘They were going about dancing, and one woman stepped on the foot belonging to
               another.’ (1932:20:141-142)</t>
  </si>
  <si>
    <t xml:space="preserve">[yaˊ icāk weˊhet ivivhaˊhĕt]</t>
  </si>
  <si>
    <t xml:space="preserve">ya išá·k wéhet hiwíwháhat</t>
  </si>
  <si>
    <t xml:space="preserve">ya   išak      wehet     hi-wiw-ø-hah-at</t>
  </si>
  <si>
    <t xml:space="preserve">that person    I(DIR)    1SO-believe-3SS-NEG-PRET</t>
  </si>
  <si>
    <t xml:space="preserve">‘That person did not believe me.’ (1932:150:1)</t>
  </si>
  <si>
    <t xml:space="preserve">[yaˊ icāk weˊhet ivivhaˊhĕt]                                         
          328) ya išá·k wéhet hiwíwháhat                                            
               ya   išak      wehet     hi-wiw-ø-hah-at                             
               that person    I(DIR)    1SO-believe-3SS-NEG-PRET                    
               ‘That person did not believe me.’ (1932:150:1)</t>
  </si>
  <si>
    <t xml:space="preserve">[wēt hihaˊyuĕt]</t>
  </si>
  <si>
    <t xml:space="preserve">wé·t hiháyuat</t>
  </si>
  <si>
    <t xml:space="preserve">wehet     hi-hayu-ø-at</t>
  </si>
  <si>
    <t xml:space="preserve">I(DIR)    1SO-laugh.at-3SS-PRET</t>
  </si>
  <si>
    <t xml:space="preserve">‘He laughed at me.’ (1932:37:2)</t>
  </si>
  <si>
    <t xml:space="preserve">[wēt hihaˊyuĕt]                                                      
          329) wé·t hiháyuat                                                        
               wehet     hi-hayu-ø-at                                               
               I(DIR)    1SO-laugh.at-3SS-PRET                                      
               ‘He laughed at me.’ (1932:37:2)</t>
  </si>
  <si>
    <t xml:space="preserve">[weˊhet himiˊcat]</t>
  </si>
  <si>
    <t xml:space="preserve">wéhet himíšat</t>
  </si>
  <si>
    <t xml:space="preserve">wehet     hi-miš-ø-at</t>
  </si>
  <si>
    <t xml:space="preserve">I(DIR)    1SO-give-3SS-PRET</t>
  </si>
  <si>
    <t xml:space="preserve">‘He gave it to me.’ (1932:80:2)</t>
  </si>
  <si>
    <t xml:space="preserve">[weˊhet himiˊcat]                                                    
          330) wéhet himíšat                                                        
               wehet     hi-miš-ø-at                                                
               I(DIR)    1SO-give-3SS-PRET                                          
               ‘He gave it to me.’ (1932:80:2)</t>
  </si>
  <si>
    <t xml:space="preserve">[Yukiˊt nuˊnkin puˊm ichāˊxc a itiyiˊlc]</t>
  </si>
  <si>
    <t xml:space="preserve">yukít núŋkin púm išháhš a itiyílš</t>
  </si>
  <si>
    <t xml:space="preserve">yukit nuŋ-kin  pum       iš-hahš        a    itiyilš</t>
  </si>
  <si>
    <t xml:space="preserve">our  village-LOC dance   1PLSTATS-not.have this month</t>
  </si>
  <si>
    <t xml:space="preserve">‘We are not having a dance in our village this month.’ (1932:13:53)</t>
  </si>
  <si>
    <t xml:space="preserve">[Yukiˊt nuˊnkin puˊm ichāˊxc a itiyiˊlc]                             
          331) yukít núŋkin púm išháhš a itiyílš                                    
               yukit nuŋ-kin  pum       iš-hahš        a    itiyilš                 
               our  village-LOC dance   1PLSTATS-not.have this month                
               ‘We are not having a dance in our village this month.’ (1932:13:53)</t>
  </si>
  <si>
    <t xml:space="preserve">[haˊl yiˊlkin imōˊculat]</t>
  </si>
  <si>
    <t xml:space="preserve">hál yílkin himó·šulat</t>
  </si>
  <si>
    <t xml:space="preserve">hal  yil-kin   himo·š-ul-at</t>
  </si>
  <si>
    <t xml:space="preserve">next day-LOC   bury-3PLS-PRET</t>
  </si>
  <si>
    <t xml:space="preserve">‘On the next day, they buried him/her.’ (1932:18:124)</t>
  </si>
  <si>
    <t xml:space="preserve">[haˊl yiˊlkin imōˊculat]                                             
          333) hál yílkin himó·šulat                                                
               hal  yil-kin   himo·š-ul-at                                          
               next day-LOC   bury-3PLS-PRET                                        
               ‘On the next day, they buried him/her.’ (1932:18:124)</t>
  </si>
  <si>
    <t xml:space="preserve">kawkáw ámn̥ ánike n̥ táhn̥ tat</t>
  </si>
  <si>
    <t xml:space="preserve">kawkaw    ø-am-n̥        an-ike    ø-n̥tah-n̥t-at</t>
  </si>
  <si>
    <t xml:space="preserve">water     3STATS-drink-WHEN ear-EL 3STATS-come.out-CONTIN-PRET</t>
  </si>
  <si>
    <t xml:space="preserve">[kaukaˊ-u aˊm’n aˊnike ntaˊhĕntat]                                   
          335) kawkáw ámn̥ ánike n̥ táhn̥ tat                                       
               kawkaw    ø-am-n̥        an-ike    ø-n̥tah-n̥t-at                    
               water     3STATS-drink-WHEN ear-EL 3STATS-come.out-CONTIN-PRET       
               ‘When he drank water, it kept on coming out of his ears. (1932:10:19-20)</t>
  </si>
  <si>
    <t xml:space="preserve">[yā icak akipai-iˊke ōt]</t>
  </si>
  <si>
    <t xml:space="preserve">ya išá·k akipáyike ók</t>
  </si>
  <si>
    <t xml:space="preserve">ya   iša·k     akipay-ike ok-ø</t>
  </si>
  <si>
    <t xml:space="preserve">that person    south-EL  come-3SS</t>
  </si>
  <si>
    <t xml:space="preserve">‘That man comes from the south.’ (1932:24:1)</t>
  </si>
  <si>
    <t xml:space="preserve">[yā icak akipai-iˊke ōt]                                             
          336) ya išá·k akipáyike ók                                                
               ya   iša·k     akipay-ike ok-ø                                       
               that person    south-EL  come-3SS                                    
               ‘That man comes from the south.’ (1932:24:1)</t>
  </si>
  <si>
    <t xml:space="preserve">{wi ipăn payóket tá-i hétsike}</t>
  </si>
  <si>
    <t xml:space="preserve">wi ipán payókat táy hécike</t>
  </si>
  <si>
    <t xml:space="preserve">wi   ipan      pay-ok-ø-at         tay  hec-ike</t>
  </si>
  <si>
    <t xml:space="preserve">my   male.cousin BACK-come-3SS-PRET river big-EL</t>
  </si>
  <si>
    <t xml:space="preserve">‘My cousin has come back from the Mississippi River.’ (Gatschet, 1885b:48)</t>
  </si>
  <si>
    <t xml:space="preserve">{wi ipăn payóket tá-i hétsike}                                       
          337) wi ipán payókat táy hécike                                           
               wi   ipan      pay-ok-ø-at         tay  hec-ike                      
               my   male.cousin BACK-come-3SS-PRET river big-EL                     
               ‘My cousin has come back from the Mississippi River.’ (Gatschet, 1885b:48)</t>
  </si>
  <si>
    <t xml:space="preserve">[nec hicoˊmckin yuk’hiˊti tulip lōˊx̥kin iwāˊt’n hūˊnst]</t>
  </si>
  <si>
    <t xml:space="preserve">neš  hišomš-kin yukhiti  tul-ip    lok-kin</t>
  </si>
  <si>
    <t xml:space="preserve">tree small-LOC Indian    lake-INESS prairie-LOC</t>
  </si>
  <si>
    <t xml:space="preserve">ø-iwa·t-n           hu-nšt</t>
  </si>
  <si>
    <t xml:space="preserve">3STATS-move.hither-WHEN see-CUSTOM</t>
  </si>
  <si>
    <t xml:space="preserve">[nec hicoˊmckin yuk’hiˊti tulip lōˊx̥kin iwāˊt’n hūˊnst]             
          339) neš hišómškin yukhíti túlip lókkin iwá·tn húnst                      
               neš  hišomš-kin yukhiti  tul-ip    lok-kin                           
               tree small-LOC Indian    lake-INESS prairie-LOC                      
               ø-iwa·t-n           hu-nšt                                           
               3STATS-move.hither-WHEN see-CUSTOM                                   
               ‘They customarily see it (the Skin-Desirer) in the brush around Lake Prien (Indian
               Lake), when it moves towards them in the prairie.’ (1932:11:35)</t>
  </si>
  <si>
    <t xml:space="preserve">‘I am to go into the mountains in order to be with my father.’ (1932:78:1)</t>
  </si>
  <si>
    <t xml:space="preserve">[nē mak oˊtsip tiˊcta wi itēt teweˊta]                               
          340) ne·mak ocip tišta wi ite·t tiwe·ta                                   
               ne·mak    oc-ip     tiš-ta    wi   ite·t     tiwe·-ta                
               mountain  on-INESS  go(sg)-PCPL my father    be.with-PCPL            
               ‘I am to go into the mountains in order to be with my father.’ (1932:78:1)</t>
  </si>
  <si>
    <t xml:space="preserve">[haˊ icāˊk luˊkin tiktāt temaˊkip]</t>
  </si>
  <si>
    <t xml:space="preserve">á išá·k lúkin tiktá·t temákip</t>
  </si>
  <si>
    <t xml:space="preserve">a    iša·k     lu-kin    tik-ta·t-ø     temak-ip</t>
  </si>
  <si>
    <t xml:space="preserve">this person    mud-LOC   go.and-stand-3SS knee-INESS</t>
  </si>
  <si>
    <t xml:space="preserve">‘This man goes and stands up to his knees in mud.’ (1932:129:2)</t>
  </si>
  <si>
    <t xml:space="preserve">[haˊ icāˊk luˊkin tiktāt temaˊkip]                                   
          342) á išá·k lúkin tiktá·t temákip                                        
               a    iša·k     lu-kin    tik-ta·t-ø     temak-ip                     
               this person    mud-LOC   go.and-stand-3SS knee-INESS                 
               ‘This man goes and stands up to his knees in mud.’ (1932:129:2)</t>
  </si>
  <si>
    <t xml:space="preserve">[tsanuˊkip iteˊ-u-iciˊko taˊ-i kipaˊxci]</t>
  </si>
  <si>
    <t xml:space="preserve">canúkip itéwišího táy kipáhši</t>
  </si>
  <si>
    <t xml:space="preserve">canuk-ip  itew-iših-o    tay  kipahši</t>
  </si>
  <si>
    <t xml:space="preserve">horse-INESS ride-ford-1SS river across</t>
  </si>
  <si>
    <t xml:space="preserve">‘I ford across the river riding on a horse.’ (1932:119:1)</t>
  </si>
  <si>
    <t xml:space="preserve">[tsanuˊkip iteˊ-u-iciˊko taˊ-i kipaˊxci]                             
          343) canúkip itéwišího táy kipáhši                                        
               canuk-ip  itew-iših-o    tay  kipahši                                
               horse-INESS ride-ford-1SS river across                               
               ‘I ford across the river riding on a horse.’ (1932:119:1)</t>
  </si>
  <si>
    <t xml:space="preserve">tupóhipwáŋ / tupó·pwáŋ</t>
  </si>
  <si>
    <t xml:space="preserve">tu-poh-ip-waŋ</t>
  </si>
  <si>
    <t xml:space="preserve">boat-smoke-INESS-go.about</t>
  </si>
  <si>
    <t xml:space="preserve">‘steamboat’ (1932:105:2)</t>
  </si>
  <si>
    <t xml:space="preserve">344) tupóhipwáŋ / tupó·pwáŋ                                               
               tu-poh-ip-waŋ                                                        
               boat-smoke-INESS-go.about                                            
               ‘steamboat’ (1932:105:2)</t>
  </si>
  <si>
    <t xml:space="preserve">[Itiˊ tanuˊkip yiˊl tūt nēn ōˊl paˊi moˊhat]</t>
  </si>
  <si>
    <t xml:space="preserve">ití  tanuk-ip  yil  tutnan    o·l  pay-moh-ø-at</t>
  </si>
  <si>
    <t xml:space="preserve">night one-INESS day before    near BACK-return-3SS-PRET</t>
  </si>
  <si>
    <t xml:space="preserve">[Itiˊ tanuˊkip yiˊl tūt nēn ōˊl paˊi moˊhat]                         
          345) ití tanúkip yíl tútnan ó·l paymóhat                                  
               ití  tanuk-ip  yil  tutnan    o·l  pay-moh-ø-at                      
               night one-INESS day before    near BACK-return-3SS-PRET              
               ‘Once at night, just before daybreak, she returned back.’ (1932:17:108-09)</t>
  </si>
  <si>
    <t xml:space="preserve">[aˊyip teˊxlk taˊlkop]</t>
  </si>
  <si>
    <t xml:space="preserve">áyip téɬk talkòp</t>
  </si>
  <si>
    <t xml:space="preserve">ay-ip          teƛk      talkop</t>
  </si>
  <si>
    <t xml:space="preserve">swamp-INESS    flower    blue</t>
  </si>
  <si>
    <t xml:space="preserve">‘marsh lily,’ lit. ‘the blue flower found within the swamp.’ (1932:23:1)</t>
  </si>
  <si>
    <t xml:space="preserve">[aˊyip teˊxlk taˊlkop]                                               
          346) áyip téɬk talkòp                                                     
               ay-ip          teƛk      talkop                                      
               swamp-INESS    flower    blue                                        
               ‘marsh lily,’ lit. ‘the blue flower found within the swamp.’ (1932:23:1)</t>
  </si>
  <si>
    <t xml:space="preserve">[kaˊkip hiyeˊn]</t>
  </si>
  <si>
    <t xml:space="preserve">kákip hiyén</t>
  </si>
  <si>
    <t xml:space="preserve">kak-ip hiyen</t>
  </si>
  <si>
    <t xml:space="preserve">forest-INESS hog</t>
  </si>
  <si>
    <t xml:space="preserve">‘opossum,’ lit. ‘the hog that is found within the forest.’ (1932:56:2)</t>
  </si>
  <si>
    <t xml:space="preserve">[kaˊkip hiyeˊn]                                                      
          347) kákip hiyén                                                          
               kak-ip hiyen                                                         
               forest-INESS hog                                                     
               ‘opossum,’ lit. ‘the hog that is found within the forest.’ (1932:56:2)</t>
  </si>
  <si>
    <t xml:space="preserve">[nûñ-uˊcip cokoˊ-i]</t>
  </si>
  <si>
    <t xml:space="preserve">nuŋúšip šokóy</t>
  </si>
  <si>
    <t xml:space="preserve">nuŋuš-ip  šokoy</t>
  </si>
  <si>
    <t xml:space="preserve">city-INESS chief</t>
  </si>
  <si>
    <t xml:space="preserve">‘judge,’ lit. ‘the chief that is found within the city.’ (1932:60:2)</t>
  </si>
  <si>
    <t xml:space="preserve">[nûñ-uˊcip cokoˊ-i]                                                  
          348) nuŋúšip šokóy                                                        
               nuŋuš-ip  šokoy                                                      
               city-INESS chief                                                     
               ‘judge,’ lit. ‘the chief that is found within the city.’ (1932:60:2)</t>
  </si>
  <si>
    <t xml:space="preserve">{kiwílsh yukíti shakónshûl}</t>
  </si>
  <si>
    <t xml:space="preserve">kiwilš yukhiti šakoŋšul</t>
  </si>
  <si>
    <t xml:space="preserve">kiwilš         yukhiti   šak-oŋš-ul</t>
  </si>
  <si>
    <t xml:space="preserve">white.person   Indian    3PLO-not.like-3PLS</t>
  </si>
  <si>
    <t xml:space="preserve">‘White people do not like the Indians.’ (Gatschet, 1885b:80)</t>
  </si>
  <si>
    <t xml:space="preserve">{kiwílsh yukíti shakónshûl}                                          
          349) kiwilš yukhiti šakoŋšul                                              
               kiwilš         yukhiti   šak-oŋš-ul                                  
               white.person   Indian    3PLO-not.like-3PLS                          
               ‘White people do not like the Indians.’ (Gatschet, 1885b:80)</t>
  </si>
  <si>
    <t xml:space="preserve">čakta     yukhiti   iša·t-hat-yinc-ne        hinakka</t>
  </si>
  <si>
    <t xml:space="preserve">Choctaw   Indian    head-REFLEX-wrap.around-GER like</t>
  </si>
  <si>
    <t xml:space="preserve">‘The Choctaw Indians (plural marked on verb) had crowns (plural assumed) in the same way.’ (1932:19:136-37)</t>
  </si>
  <si>
    <t xml:space="preserve">[Tchaˊkta yuk’hiti icāˊt atyiˊnsne hinaˊka cakeˊat]                  
          350) čákta yukhíti iša·thatyíncne hinákka šakkéat                         
               čakta     yukhiti   iša·t-hat-yinc-ne        hinakka                 
               Choctaw   Indian    head-REFLEX-wrap.around-GER like                 
               šak-ke-at                                                            
               3PLSTATS-have-PRET                                                   
               ‘The Choctaw Indians (plural marked on verb) had crowns (plural assumed) in the same
               way.’ (1932:19:136-37)</t>
  </si>
  <si>
    <t xml:space="preserve">[ha cakicāˊk tsīˊpsulat hiweˊvc tanuˊk maˊ-i]</t>
  </si>
  <si>
    <t xml:space="preserve">ha šakišá·k cípšulat hiwéwš tanúk máy</t>
  </si>
  <si>
    <t xml:space="preserve">ha   šak-iša·k cipš-ul-at     hiwewš    tanuk may</t>
  </si>
  <si>
    <t xml:space="preserve">his  PL-person move-3PLS-PRET measure   one  away</t>
  </si>
  <si>
    <t xml:space="preserve">‘His relatives moved a mile away.’ (1932:19:138-39)</t>
  </si>
  <si>
    <t xml:space="preserve">[ha cakicāˊk tsīˊpsulat hiweˊvc tanuˊk maˊ-i]                        
          351) ha šakišá·k cípšulat hiwéwš tanúk máy                                
               ha   šak-iša·k cipš-ul-at     hiwewš    tanuk may                    
               his  PL-person move-3PLS-PRET measure   one  away                    
               ‘His relatives moved a mile away.’ (1932:19:138-39)</t>
  </si>
  <si>
    <t xml:space="preserve">[neˊc heˊu caktaˊmo]</t>
  </si>
  <si>
    <t xml:space="preserve">néšhéw šaktámo</t>
  </si>
  <si>
    <t xml:space="preserve">néš-héw   šak-tám-o</t>
  </si>
  <si>
    <t xml:space="preserve">tree-PL   3PLO-climb-1SS</t>
  </si>
  <si>
    <t xml:space="preserve">‘I climb trees.’ (1932:39:2)</t>
  </si>
  <si>
    <t xml:space="preserve">[neˊc heˊu caktaˊmo]                                                 
          353) néšhéw šaktámo                                                       
               néš-héw   šak-tám-o                                                  
               tree-PL   3PLO-climb-1SS                                             
               ‘I climb trees.’ (1932:39:2)</t>
  </si>
  <si>
    <t xml:space="preserve">[wi cokiuˊlc heˊ-u keˊ-u huˊnto]</t>
  </si>
  <si>
    <t xml:space="preserve">wi šokyúlšhéw kéwhún̥to</t>
  </si>
  <si>
    <t xml:space="preserve">wi   šokyulš-hew kew-hu-n̥t-o·</t>
  </si>
  <si>
    <t xml:space="preserve">I    book-PL   SIT-read-CONTIN-PHR.TERM</t>
  </si>
  <si>
    <t xml:space="preserve">‘I am going to sit and read books.’ (1932:39:2)</t>
  </si>
  <si>
    <t xml:space="preserve">[wi cokiuˊlc heˊ-u keˊ-u huˊnto]                                     
          354) wi šokyúlšhéw kéwhún̥to                                              
               wi   šokyulš-hew kew-hu-n̥t-o·                                       
               I    book-PL   SIT-read-CONTIN-PHR.TERM                              
               ‘I am going to sit and read books.’ (1932:39:2)</t>
  </si>
  <si>
    <t xml:space="preserve">[Taneˊ-u tuˊlkin paˊk-cakpaˊkicat.]</t>
  </si>
  <si>
    <t xml:space="preserve">tan-hew   tul-kin   pak,šak,pak-iš-at</t>
  </si>
  <si>
    <t xml:space="preserve">some-PL   lake-loc  REDUP,3PLOBJ,throw.in-CAUS-PRET</t>
  </si>
  <si>
    <t xml:space="preserve">‘Some of them they threw again and again into the lake.’ (1932:20:146)</t>
  </si>
  <si>
    <t xml:space="preserve">[Taneˊ-u tuˊlkin paˊk-cakpaˊkicat.]                                  
          356) tannéw túlkin pákšakpákišat                                          
               tan-hew   tul-kin   pak,šak,pak-iš-at                                
               some-PL   lake-loc  REDUP,3PLOBJ,throw.in-CAUS-PRET                  
               ‘Some of them they threw again and again into the lake.’ (1932:20:146)</t>
  </si>
  <si>
    <t xml:space="preserve">[Samtiˊ hitiˊ kuˊcmelmēl puˊm kaˊ-ulat]</t>
  </si>
  <si>
    <t xml:space="preserve">[Samtiˊ hitiˊ kuˊcmelmēl puˊm kaˊ-ulat]                              
          357) samtí ití kúšmélme·l púm káulat                                      
               samti     ití  kuš,mel,me·l   pum  ka-ul-at                          
               Saturday  night black.person,PL, dance make-3PLS-PRET                
               ‘On Saturday night, the black people held a dance.’ (1932:20:141)</t>
  </si>
  <si>
    <t xml:space="preserve">[keˊc caksokeˊc yoˊxt wi caˊk’hinai]</t>
  </si>
  <si>
    <t xml:space="preserve">kéš šakšoké·šyóht wí šakhinày</t>
  </si>
  <si>
    <t xml:space="preserve">keš       šak-šoke·š-yoht     wi   šak-hi-nay</t>
  </si>
  <si>
    <t xml:space="preserve">women     3PLSTATS-sick-lie(pl) I  3PLO-1STATS-think</t>
  </si>
  <si>
    <t xml:space="preserve">‘I think many women are lying sick.’ (1932:65:2)</t>
  </si>
  <si>
    <t xml:space="preserve">[keˊc caksokeˊc yoˊxt wi caˊk’hinai]                                 
          358) kéš šakšoké·šyóht wí šakhinày                                        
               keš       šak-šoke·š-yoht     wi   šak-hi-nay                        
               women     3PLSTATS-sick-lie(pl) I  3PLO-1STATS-think                 
               ‘I think many women are lying sick.’ (1932:65:2)</t>
  </si>
  <si>
    <t xml:space="preserve">{téwash wilótit}</t>
  </si>
  <si>
    <t xml:space="preserve">téwaš wilótit</t>
  </si>
  <si>
    <t xml:space="preserve">té-waš    ø-wiló-tit</t>
  </si>
  <si>
    <t xml:space="preserve">PL-leaf   3STATS-fall(pl)-PROG(PL)</t>
  </si>
  <si>
    <t xml:space="preserve">‘The leaves are falling.’ (Gatschet, 1885a:223)</t>
  </si>
  <si>
    <t xml:space="preserve">{téwash wilótit}                                                     
          359) téwaš wilótit                                                        
               té-waš    ø-wiló-tit                                                 
               PL-leaf   3STATS-fall(pl)-PROG(PL)                                   
               ‘The leaves are falling.’ (Gatschet, 1885a:223)</t>
  </si>
  <si>
    <t xml:space="preserve">[Iˊcak kaˊw aˊñ laˊwiulat]</t>
  </si>
  <si>
    <t xml:space="preserve">išà·k káw áŋ láwiulat</t>
  </si>
  <si>
    <t xml:space="preserve">iša·k     kaw  aŋ   law-i-ul-at.</t>
  </si>
  <si>
    <t xml:space="preserve">person    dead house burn-CAUS-3PLS-PRET</t>
  </si>
  <si>
    <t xml:space="preserve">‘They burned the dead person’s house. (1932:19:138)</t>
  </si>
  <si>
    <t xml:space="preserve">[Iˊcak kaˊw aˊñ laˊwiulat]                                           
          360) išà·k káw áŋ láwiulat                                                
               iša·k     kaw  aŋ   law-i-ul-at.                                     
               person    dead house burn-CAUS-3PLS-PRET                             
               ‘They burned the dead person’s house. (1932:19:138)</t>
  </si>
  <si>
    <t xml:space="preserve">‘His head and his whole body were nothing but hair.’ (1932: 11:33-34)</t>
  </si>
  <si>
    <t xml:space="preserve">[ha icāˊt ha uˊc mōn naˊ-ucĕm]                                       
          361) ha išá·t ha úš mo·n náwšim                                           
               ha   iša·t ha  uš   mo·n ø-naw-šim                                   
               his  head his  body all  3STATS-hair-NOTHING.BUT                     
               ‘His head and his whole body were nothing but hair.’ (1932: 11:33-34)</t>
  </si>
  <si>
    <t xml:space="preserve">[wi kulcaˊ Cuˊkuhui yuk’hiˊti cox̥ koˊyat]</t>
  </si>
  <si>
    <t xml:space="preserve">wi kulšá šúkuhuy yukhíti šokóyat</t>
  </si>
  <si>
    <t xml:space="preserve">wi   kulša     šukuhuy   yukhiti   ø-šokoy-at</t>
  </si>
  <si>
    <t xml:space="preserve">my   grandfather PN      Indian    3STATS-be.chief-PRET</t>
  </si>
  <si>
    <t xml:space="preserve">‘My grandfather, Šukuhuy, was an Indian chief.’ (1932:16:93)</t>
  </si>
  <si>
    <t xml:space="preserve">[wi kulcaˊ Cuˊkuhui yuk’hiˊti cox̥ koˊyat]                           
          363) wi kulšá šúkuhuy yukhíti šokóyat                                     
               wi   kulša     šukuhuy   yukhiti   ø-šokoy-at                        
               my   grandfather PN      Indian    3STATS-be.chief-PRET              
               ‘My grandfather, Šukuhuy, was an Indian chief.’ (1932:16:93)</t>
  </si>
  <si>
    <t xml:space="preserve">[Caktaˊlko Yuk’hiˊti icaˊk kaˊ-u haˊtalkoˊat hinaˊk cakioˊñculĕt]</t>
  </si>
  <si>
    <t xml:space="preserve">šaktálko yukhíti išá·k káw ha tàl kóat hinák šakyóŋšulat</t>
  </si>
  <si>
    <t xml:space="preserve">šak-tal-ko     yukhiti   iša·k kaw ha   tal  ø-ko-at</t>
  </si>
  <si>
    <t xml:space="preserve">PL-skin-wanter Indian    person dead his skin 3STATS-want-PRET</t>
  </si>
  <si>
    <t xml:space="preserve">hinak     šak-yoŋš-ul-at</t>
  </si>
  <si>
    <t xml:space="preserve">be.like   3PLO-call-3PLO-PRET</t>
  </si>
  <si>
    <t xml:space="preserve">‘The Skin-desirer wanted the skin of a dead Indian; for this reason they named it so.’ (1932:11:32)</t>
  </si>
  <si>
    <t xml:space="preserve">[Caktaˊlko Yuk’hiˊti icaˊk kaˊ-u haˊtalkoˊat hinaˊk cakioˊñculĕt]    
          364) šaktálko yukhíti išá·k káw ha tàl kóat hinák šakyóŋšulat             
               šak-tal-ko     yukhiti   iša·k kaw ha   tal  ø-ko-at                 
               PL-skin-wanter Indian    person dead his skin 3STATS-want-PRET       
               hinak     šak-yoŋš-ul-at                                             
               be.like   3PLO-call-3PLO-PRET                                        
               ‘The Skin-desirer wanted the skin of a dead Indian; for this reason they named it so.’
               (1932:11:32)</t>
  </si>
  <si>
    <t xml:space="preserve">[icak heˊ-u hakit eˊñip cakwaˊ-uco]</t>
  </si>
  <si>
    <t xml:space="preserve">iša·k héw hakit é·ŋip šakwáhušo</t>
  </si>
  <si>
    <t xml:space="preserve">iša·k     hew  hakit e·ŋ-ip   šak-wahuš-o</t>
  </si>
  <si>
    <t xml:space="preserve">person    many their name-INESS 3PLO-call-1SS</t>
  </si>
  <si>
    <t xml:space="preserve">‘I call many people by their names.’ (1932:31:1)</t>
  </si>
  <si>
    <t xml:space="preserve">[icak heˊ-u hakit eˊñip cakwaˊ-uco]                                  
          365) iša·k héw hakit é·ŋip šakwáhušo                                      
               iša·k     hew  hakit e·ŋ-ip   šak-wahuš-o                            
               person    many their name-INESS 3PLO-call-1SS                        
               ‘I call many people by their names.’ (1932:31:1)</t>
  </si>
  <si>
    <t xml:space="preserve">wí·š wi ité·t hiyanyánháhšat</t>
  </si>
  <si>
    <t xml:space="preserve">wi-iš wi  ite·t hi-yanyan-hahš-at</t>
  </si>
  <si>
    <t xml:space="preserve">I-FOC my  father 1SSTATS-fear-NEG-PRET</t>
  </si>
  <si>
    <t xml:space="preserve">‘I did not fear my father.’ (1932:16:103)</t>
  </si>
  <si>
    <t xml:space="preserve">366) wí·š wi ité·t hiyanyánháhšat                                         
               wi-iš wi  ite·t hi-yanyan-hahš-at                                    
               I-FOC my  father 1SSTATS-fear-NEG-PRET                               
               ‘I did not fear my father.’ (1932:16:103)</t>
  </si>
  <si>
    <t xml:space="preserve">[hāc ipaˊ hāˊxcĕt (h)iuˊxts atkaˊki]</t>
  </si>
  <si>
    <t xml:space="preserve">há·š hipá háhšat hiúhc atkáki</t>
  </si>
  <si>
    <t xml:space="preserve">ha-iš     hipa      ø-hahš-at           hi-uhc     atkaki</t>
  </si>
  <si>
    <t xml:space="preserve">she-FOC   husband   3STATS-not.have-PRET 1SSTATS-know since</t>
  </si>
  <si>
    <t xml:space="preserve">‘She did not have a husband from the time I knew her.’ (Not *her husband did not exist…) (1932:14:73-74)</t>
  </si>
  <si>
    <t xml:space="preserve">[hāc ipaˊ hāˊxcĕt (h)iuˊxts atkaˊki]                                 
          367) há·š hipá háhšat hiúhc atkáki                                        
               ha-iš     hipa      ø-hahš-at           hi-uhc     atkaki            
               she-FOC   husband   3STATS-not.have-PRET 1SSTATS-know since          
               ‘She did not have a husband from the time I knew her.’ (Not *her husband did
               not exist…) (1932:14:73-74)</t>
  </si>
  <si>
    <t xml:space="preserve">[kéˊc ‘n cakióˊl téc mōñ cakmañmáˊñĕt]</t>
  </si>
  <si>
    <t xml:space="preserve">kéšn̥ šakyól té·š mo·n šakmaŋmáŋat</t>
  </si>
  <si>
    <t xml:space="preserve">keš=n̥         šakyol    te·š mo·n šak-maŋ,maŋ-at</t>
  </si>
  <si>
    <t xml:space="preserve">woman(pl)=and  man       hair all  3PLSTATS-REDUP, be.long-PRET</t>
  </si>
  <si>
    <t xml:space="preserve">‘Women’s and men’s hair was all long.’ (1932:10:23)</t>
  </si>
  <si>
    <t xml:space="preserve">[kéˊc ‘n cakióˊl téc mōñ cakmañmáˊñĕt]                               
          368) kéšn̥ šakyól té·š mo·n šakmaŋmáŋat                                   
               keš=n̥         šakyol    te·š mo·n šak-maŋ,maŋ-at                    
               woman(pl)=and  man       hair all  3PLSTATS-REDUP, be.long-PRET      
               ‘Women’s and men’s hair was all long.’ (1932:10:23)</t>
  </si>
  <si>
    <t xml:space="preserve">{Tsaxtá shakīt nómsh ishát shakpalpálishat}</t>
  </si>
  <si>
    <t xml:space="preserve">cahtá·š hakít nómš išá·t šakpalpálišat</t>
  </si>
  <si>
    <t xml:space="preserve">cahta-iš  hakit nomš     iša·t     šak-,pal,pal-iš-ø-at</t>
  </si>
  <si>
    <t xml:space="preserve">Choctaw-FOC their child  head      3PLO-,REDUP,be.flat-CAUS-3SS-PRET</t>
  </si>
  <si>
    <t xml:space="preserve">‘As for the Choctaw, they flattened the various heads of their children.’ (Gatschet, 1885b:147)</t>
  </si>
  <si>
    <t xml:space="preserve">{Tsaxtá shakīt nómsh ishát shakpalpálishat}                          
          369) cahtá·š hakít nómš išá·t šakpalpálišat                               
               cahta-iš  hakit nomš     iša·t     šak-,pal,pal-iš-ø-at              
               Choctaw-FOC their child  head      3PLO-,REDUP,be.flat-CAUS-3SS-PRET 
               ‘As for the Choctaw, they flattened the various heads of their children.’ (Gatschet,
               1885b:147)</t>
  </si>
  <si>
    <t xml:space="preserve">370) wí·š wi ité·t hiyanyánháhšat                                         
               wi-iš wi  ite·t hi-yanyan-hahš-at                                    
               I-FOC my  father 1SSTATS-fear-NEG-PRET                               
               ‘I did not fear my father.’ (1932:16:103)</t>
  </si>
  <si>
    <t xml:space="preserve">[yac nak tuˊtayhaˊxc nkaˊkit]</t>
  </si>
  <si>
    <t xml:space="preserve">yá·š ná·k tútayháhš n̥ kákit.</t>
  </si>
  <si>
    <t xml:space="preserve">ya-iš     na-ik          tutayhahš n̥-ka-kit</t>
  </si>
  <si>
    <t xml:space="preserve">that-FOC  you-ERG.AGNT   in.vain   2SSTATS-do-PROG</t>
  </si>
  <si>
    <t xml:space="preserve">‘You are doing that in vain.’ (1932:35:1)</t>
  </si>
  <si>
    <t xml:space="preserve">[yac nak tuˊtayhaˊxc nkaˊkit]                                        
          371) yá·š ná·k tútayháhš n̥ kákit.                                        
               ya-iš     na-ik          tutayhahš n̥-ka-kit                         
               that-FOC  you-ERG.AGNT   in.vain   2SSTATS-do-PROG                   
               ‘You are doing that in vain.’ (1932:35:1)</t>
  </si>
  <si>
    <t xml:space="preserve">šók hiwinéat ná·kš náhka n̥ wáncn̥</t>
  </si>
  <si>
    <t xml:space="preserve">something 1SSTATS-find-PRET you-ERG.AGNT-FOC must.not</t>
  </si>
  <si>
    <t xml:space="preserve">[coˊk (h)iwineˊat nāˊkc naˊxkan waˊncĕn]                             
          372) šók hiwinéat ná·kš náhka n̥ wáncn̥                                   
               šók       hi-wine-at     na-ik-š        nahka                        
               something 1SSTATS-find-PRET you-ERG.AGNT-FOC must.not                
               n̥-wanc-n̥                                                           
               2SSTATS-tell-IF                                                      
               ‘I found something; you must say nothing to anyone.’ (1932:142:2)</t>
  </si>
  <si>
    <t xml:space="preserve">{kéushuχkinto náksh ke-ushiúlkinto}</t>
  </si>
  <si>
    <t xml:space="preserve">kéw-ƛukš-ki-nt-o·             ná-ik-iš</t>
  </si>
  <si>
    <t xml:space="preserve">‘I will sit and smoke. You will sit and write.’ (Gatschet, 1885b:107)</t>
  </si>
  <si>
    <t xml:space="preserve">{kéushuχkinto náksh ke-ushiúlkinto}                                  
          373) kewƛúkškinto ná·kš kewyúlškinto                                      
               kéw-ƛukš-ki-nt-o·             ná-ik-iš                               
               SIT-smoke.tobacco-FC-CONTIN-PHR:TERM you(sg)-ERG.AGNT-FOC            
               kew-yulš-ki-nt-o·                                                    
               SIT-write-FC-CONTIN-PHR.TERM                                         
               ‘I will sit and smoke. You will sit and write.’ (Gatschet, 1885b:107)</t>
  </si>
  <si>
    <t xml:space="preserve">[wi kulcaˊ kaˊ-ukin yaˊ hāˊc yilkeˊ tuˊl ma inoˊ-i tsīˊpcat]</t>
  </si>
  <si>
    <t xml:space="preserve">wi kulšá káwkinya ha·š yílke túl maynóy cípšat</t>
  </si>
  <si>
    <t xml:space="preserve">wi   kulša     ø-kaw-kin=ya        ha-iš     yilke     tul</t>
  </si>
  <si>
    <t xml:space="preserve">my   grandfather 3STATS-die-WHEN=and she-FOC marry     lake</t>
  </si>
  <si>
    <t xml:space="preserve">maynoy    cipš-ø-at</t>
  </si>
  <si>
    <t xml:space="preserve">other.side move-3SS-PRET</t>
  </si>
  <si>
    <t xml:space="preserve">‘When my grandfather died, then she married and moved to the other side of the lake.’ (1932:16:99-100)</t>
  </si>
  <si>
    <t xml:space="preserve">[wi kulcaˊ kaˊ-ukin yaˊ hāˊc yilkeˊ tuˊl ma inoˊ-i tsīˊpcat]         
          374) wi kulšá káwkinya ha·š yílke túl maynóy cípšat                       
               wi   kulša     ø-kaw-kin=ya        ha-iš     yilke     tul           
               my   grandfather 3STATS-die-WHEN=and she-FOC marry     lake          
               maynoy    cipš-ø-at                                                  
               other.side move-3SS-PRET                                             
               ‘When my grandfather died, then she married and moved to the other side of the
               lake.’ (1932:16:99-100)</t>
  </si>
  <si>
    <t xml:space="preserve">yukit-š   iš-hat-ciškiš-at         yukit oke·t hu-ne.</t>
  </si>
  <si>
    <t xml:space="preserve">[Yukiˊts icatsiˊckicat yukiˊt okēt huˊne]                            
          375) yukíts iššaccíškišat yukít oké·t húne.                               
               yukit-š   iš-hat-ciškiš-at         yukit oke·t hu-ne.                
               we-FOC    1PLSTATS-REFLEX-be:glad-PRET our mother see-GER            
               ‘We were glad to see our mother.’ (1932:17:109)</t>
  </si>
  <si>
    <t xml:space="preserve">[yukiˊt ikinhuˊtsĕl]</t>
  </si>
  <si>
    <t xml:space="preserve">yukítik n̥ húcel</t>
  </si>
  <si>
    <t xml:space="preserve">yukit-ik  n̥-hu-cel</t>
  </si>
  <si>
    <t xml:space="preserve">we-ERG.AGNT 2SO-see-1PLS</t>
  </si>
  <si>
    <t xml:space="preserve">‘We see you.’ (1932:158:1)</t>
  </si>
  <si>
    <t xml:space="preserve">[yukiˊt ikinhuˊtsĕl]                                                 
          376) yukítik n̥ húcel                                                     
               yukit-ik  n̥-hu-cel                                                  
               we-ERG.AGNT 2SO-see-1PLS                                             
               ‘We see you.’ (1932:158:1)</t>
  </si>
  <si>
    <t xml:space="preserve">nakit     nak-yah-inš</t>
  </si>
  <si>
    <t xml:space="preserve">‘You all habitually eat it.’ (Gatschet, 1885c: [7])</t>
  </si>
  <si>
    <t xml:space="preserve">{nakit nak yá-insh}                                                  
          377) nakít nakyáhinš                                                      
               nakit     nak-yah-inš                                                
               you(pl)   2PLSTATS-eat-HABIT                                         
               ‘You all habitually eat it.’ (Gatschet, 1885c: [7])</t>
  </si>
  <si>
    <t xml:space="preserve">{Yokón shakyókat hakīˊt oˊt}</t>
  </si>
  <si>
    <t xml:space="preserve">yokón šakyókat hakítot</t>
  </si>
  <si>
    <t xml:space="preserve">yokon     šak-yok-ø-at        hakit-ot</t>
  </si>
  <si>
    <t xml:space="preserve">song      3PLO-sing-3SS-PRET  they-DIR</t>
  </si>
  <si>
    <t xml:space="preserve">‘She sang songs to them.’ (Gatschet, 1885b:162-63)</t>
  </si>
  <si>
    <t xml:space="preserve">{Yokón shakyókat hakīˊt oˊt}                                         
          378) yokón šakyókat hakítot                                               
               yokon     šak-yok-ø-at        hakit-ot                               
               song      3PLO-sing-3SS-PRET  they-DIR                               
               ‘She sang songs to them.’ (Gatschet, 1885b:162-63)</t>
  </si>
  <si>
    <t xml:space="preserve">[Kic Tōt haˊ nīl Yoyoˊt haˊ ickiciˊl haˊhu īt kaˊwat aˊ nuˊnkin]</t>
  </si>
  <si>
    <t xml:space="preserve">kištó·t ha níl yoyót ha iškišíl háhuwi·t káwat á núŋkin</t>
  </si>
  <si>
    <t xml:space="preserve">kišto·t ha nil      yoyot ha  iškišil   hahuwi·t</t>
  </si>
  <si>
    <t xml:space="preserve">PN     her grandchild PN her  daughter  previously</t>
  </si>
  <si>
    <t xml:space="preserve">ø-kaw-at       a    nuŋ-kin</t>
  </si>
  <si>
    <t xml:space="preserve">3STATS-die-PRET this village-LOC</t>
  </si>
  <si>
    <t xml:space="preserve">‘Kišto·t, her grandchild, Yoyot’s daughter, had died previously in this town.’ (1932:15:90-91)</t>
  </si>
  <si>
    <t xml:space="preserve">[Kic Tōt haˊ nīl Yoyoˊt haˊ ickiciˊl haˊhu īt kaˊwat aˊ nuˊnkin]     
          379) kištó·t ha níl yoyót ha iškišíl háhuwi·t káwat á núŋkin              
               kišto·t ha nil      yoyot ha  iškišil   hahuwi·t                     
               PN     her grandchild PN her  daughter  previously                   
               ø-kaw-at       a    nuŋ-kin                                          
               3STATS-die-PRET this village-LOC                                     
               ‘Kišto·t, her grandchild, Yoyot’s daughter, had died previously in this town.’
               (1932:15:90-91)</t>
  </si>
  <si>
    <t xml:space="preserve">yukít núŋkin púm išháhš á itiyílš</t>
  </si>
  <si>
    <t xml:space="preserve">[Yukiˊt nuˊnkin puˊm ichāˊxc a itiyiˊlc]                             
          380) yukít núŋkin púm išháhš á itiyílš                                    
               yukit nuŋ-kin  pum       iš-hahš        a    itiyilš                 
               our  village-LOC dance   1PLSTATS-not.have this month                
               ‘We are not having a dance in our village this month.’ (1932:13:53)</t>
  </si>
  <si>
    <t xml:space="preserve">á·š me·lúš</t>
  </si>
  <si>
    <t xml:space="preserve">a-iš      ø-me·l-uš</t>
  </si>
  <si>
    <t xml:space="preserve">this-FOC  3STATS-be.black-be.true</t>
  </si>
  <si>
    <t xml:space="preserve">‘This is true black.’ (1932:80:1)</t>
  </si>
  <si>
    <t xml:space="preserve">381) á·š me·lúš                                                           
               a-iš      ø-me·l-uš                                                  
               this-FOC  3STATS-be.black-be.true                                    
               ‘This is true black.’ (1932:80:1)</t>
  </si>
  <si>
    <t xml:space="preserve">{á ókit}</t>
  </si>
  <si>
    <t xml:space="preserve">á ókkit</t>
  </si>
  <si>
    <t xml:space="preserve">a         ø-ok-kit</t>
  </si>
  <si>
    <t xml:space="preserve">this.person 3STATS-come-PROG(SG)</t>
  </si>
  <si>
    <t xml:space="preserve">‘This person is coming.’ (Gatschet, 1885b:57)</t>
  </si>
  <si>
    <t xml:space="preserve">{á ókit}                                                             
          382) á ókkit                                                              
               a         ø-ok-kit                                                   
               this.person 3STATS-come-PROG(SG)                                     
               ‘This person is coming.’ (Gatschet, 1885b:57)</t>
  </si>
  <si>
    <t xml:space="preserve">yá káwšne pałat</t>
  </si>
  <si>
    <t xml:space="preserve">ya   kawšne    paƛ-ø-at</t>
  </si>
  <si>
    <t xml:space="preserve">that comb      be.broken-3SS-PRET</t>
  </si>
  <si>
    <t xml:space="preserve">384) yá káwšne pałat                                                      
               ya   kawšne    paƛ-ø-at                                              
               that comb      be.broken-3SS-PRET                                    
               ‘That comb is broken.’ (1932:102:2)</t>
  </si>
  <si>
    <t xml:space="preserve">[yaˊc kiwiˊlcul aˊ]</t>
  </si>
  <si>
    <t xml:space="preserve">yá·š kiwílšul á</t>
  </si>
  <si>
    <t xml:space="preserve">ya-iš     kiwilš-ul           a</t>
  </si>
  <si>
    <t xml:space="preserve">that-FOC  be.white.person-3PLS Q</t>
  </si>
  <si>
    <t xml:space="preserve">‘Are those white people?’ (1932:67:2)</t>
  </si>
  <si>
    <t xml:space="preserve">[yaˊc kiwiˊlcul aˊ]                                                  
          385) yá·š kiwílšul á                                                      
               ya-iš     kiwilš-ul           a                                      
               that-FOC  be.white.person-3PLS Q                                     
               ‘Are those white people?’ (1932:67:2)</t>
  </si>
  <si>
    <t xml:space="preserve">[inaˊha noˊmc]</t>
  </si>
  <si>
    <t xml:space="preserve">ináha nómš</t>
  </si>
  <si>
    <t xml:space="preserve">inaha     nomš</t>
  </si>
  <si>
    <t xml:space="preserve">that(far) child</t>
  </si>
  <si>
    <t xml:space="preserve">‘that child far off’ (1932:93:1)</t>
  </si>
  <si>
    <t xml:space="preserve">[inaˊha noˊmc]                                                       
          386) ináha nómš                                                           
               inaha     nomš                                                       
               that(far) child                                                      
               ‘that child far off’ (1932:93:1)</t>
  </si>
  <si>
    <t xml:space="preserve">[wi aˊñ wañnē taˊ-i tsikaˊdep tāt(o)]</t>
  </si>
  <si>
    <t xml:space="preserve">wi áŋ wáŋne táy cikátip tá·to</t>
  </si>
  <si>
    <t xml:space="preserve">wi   aŋ        waŋne     tay  cikatip   ta·t-ø-o·</t>
  </si>
  <si>
    <t xml:space="preserve">my   house     road      river between  stand-3SS-PHR.TERM</t>
  </si>
  <si>
    <t xml:space="preserve">‘My house stands between the road and the river.’ (1932:28:2)</t>
  </si>
  <si>
    <t xml:space="preserve">[wi aˊñ wañnē taˊ-i tsikaˊdep tāt(o)]                                
          387) wi áŋ wáŋne táy cikátip tá·to                                        
               wi   aŋ        waŋne     tay  cikatip   ta·t-ø-o·                    
               my   house     road      river between  stand-3SS-PHR.TERM           
               ‘My house stands between the road and the river.’ (1932:28:2)</t>
  </si>
  <si>
    <t xml:space="preserve">[Inkiliˊc taˊ-i oˊts nûˊn kēˊt’ntat Tuˊl Teˊ-u oˊtse]</t>
  </si>
  <si>
    <t xml:space="preserve">inkilíš táy óc núŋké·tn̥ tat túl téw óci</t>
  </si>
  <si>
    <t xml:space="preserve">inkiliš   tay  oc        nuŋ-ke·t-n̥t-at</t>
  </si>
  <si>
    <t xml:space="preserve">English   river right.on village-dwell-CONTIN-PRET</t>
  </si>
  <si>
    <t xml:space="preserve">tul  tew       oci</t>
  </si>
  <si>
    <t xml:space="preserve">lake upstream  over</t>
  </si>
  <si>
    <t xml:space="preserve">‘He used to live in a village right on English Bayou, over Lake Charles (1932:16:94)</t>
  </si>
  <si>
    <t xml:space="preserve">[Inkiliˊc taˊ-i oˊts nûˊn kēˊt’ntat Tuˊl Teˊ-u oˊtse]                
          388) inkilíš táy óc núŋké·tn̥ tat túl téw óci                             
               inkiliš   tay  oc        nuŋ-ke·t-n̥t-at                             
               English   river right.on village-dwell-CONTIN-PRET                   
               tul  tew       oci                                                   
               lake upstream  over                                                  
               ‘He used to live in a village right on English Bayou, over Lake Charles (1932:16:94)</t>
  </si>
  <si>
    <t xml:space="preserve">yukhíti núŋkin ké·tn̥tat yukhíti túl tólpot inó</t>
  </si>
  <si>
    <t xml:space="preserve">yukhiti nuŋ-kin ke·t-n̥t-at   yukhiti   tul  tolpot ino</t>
  </si>
  <si>
    <t xml:space="preserve">Indian village-LOC dwell-CONTIN-PRET Indian lake east side</t>
  </si>
  <si>
    <t xml:space="preserve">‘She used to live in an Indian village on the east side of Lake Prien (Indian Lake).’ (1932:14:71)</t>
  </si>
  <si>
    <t xml:space="preserve">389) yukhíti núŋkin ké·tn̥tat yukhíti túl tólpot inó                      
               yukhiti nuŋ-kin ke·t-n̥t-at   yukhiti   tul  tolpot ino              
               Indian village-LOC dwell-CONTIN-PRET Indian lake east side           
               ‘She used to live in an Indian village on the east side of Lake Prien (Indian Lake).’
               (1932:14:71)</t>
  </si>
  <si>
    <t xml:space="preserve">[Icāˊt atyĕˊnē laklaˊkc koˊpik kaˊ wine-ulat Yuk’hiˊti Tuˊl hikiˊ inoˊ]</t>
  </si>
  <si>
    <t xml:space="preserve">iša·thatyíncne laklákškópik ká winéulat yukhíti túl hikí inó</t>
  </si>
  <si>
    <t xml:space="preserve">iša·thatyincne laklakškop-ik ka wine-ul-at   yukhiti</t>
  </si>
  <si>
    <t xml:space="preserve">crown     silver-ERG.INSTR make find-3PLS-PRET Indian</t>
  </si>
  <si>
    <t xml:space="preserve">tul  hiki ino</t>
  </si>
  <si>
    <t xml:space="preserve">lake west side</t>
  </si>
  <si>
    <t xml:space="preserve">‘They found a crown made of silver on the west side of Lake Prien (Indian Lake).’ (1932:19:133-35)</t>
  </si>
  <si>
    <t xml:space="preserve">[Icāˊt atyĕˊnē laklaˊkc koˊpik kaˊ wine-ulat Yuk’hiˊti Tuˊl hikiˊ inoˊ]
          390) iša·thatyíncne laklákškópik ká winéulat yukhíti túl hikí inó         
               iša·thatyincne laklakškop-ik ka wine-ul-at   yukhiti                 
               crown     silver-ERG.INSTR make find-3PLS-PRET Indian                
               tul  hiki ino                                                        
               lake west side                                                       
               ‘They found a crown made of silver on the west side of Lake Prien (Indian Lake).’
               (1932:19:133-35)</t>
  </si>
  <si>
    <t xml:space="preserve">[tuˊl ma inoˊ-i tsīˊpcat]</t>
  </si>
  <si>
    <t xml:space="preserve">túl maynóy cípšat</t>
  </si>
  <si>
    <t xml:space="preserve">tul  maynoy         cipš-ø-at</t>
  </si>
  <si>
    <t xml:space="preserve">lake other.side.of  move-3SS-PRET</t>
  </si>
  <si>
    <t xml:space="preserve">‘She moved to the other side of the lake.’ (1932:16:100)</t>
  </si>
  <si>
    <t xml:space="preserve">[tuˊl ma inoˊ-i tsīˊpcat]                                            
          391) túl maynóy cípšat                                                    
               tul  maynoy         cipš-ø-at                                        
               lake other.side.of  move-3SS-PRET                                    
               ‘She moved to the other side of the lake.’ (1932:16:100)</t>
  </si>
  <si>
    <t xml:space="preserve">[wāˊñne oˊ]</t>
  </si>
  <si>
    <t xml:space="preserve">wáŋne ó</t>
  </si>
  <si>
    <t xml:space="preserve">waŋne o</t>
  </si>
  <si>
    <t xml:space="preserve">road      at.the.edge.of</t>
  </si>
  <si>
    <t xml:space="preserve">‘alongside the road’ (1932:142:1)</t>
  </si>
  <si>
    <t xml:space="preserve">[wāˊñne oˊ]                                                          
          392) wáŋne ó                                                              
               waŋne o                                                              
               road      at.the.edge.of                                             
               ‘alongside the road’ (1932:142:1)</t>
  </si>
  <si>
    <t xml:space="preserve">[yiˊl lāt himatoˊl-u tatiˊhin-tāt]</t>
  </si>
  <si>
    <t xml:space="preserve">yil la·t himatólot tà·ttihin̥tat</t>
  </si>
  <si>
    <t xml:space="preserve">yil  la·t himatol-ot ta·t-tihi-n̥t-at</t>
  </si>
  <si>
    <t xml:space="preserve">day  three four-DIR stand(sg)-CONTIN-PRET</t>
  </si>
  <si>
    <t xml:space="preserve">‘He kept on living for three to four days.’ (1932:10:18-19)</t>
  </si>
  <si>
    <t xml:space="preserve">[yiˊl lāt himatoˊl-u tatiˊhin-tāt]                                   
          393) yil la·t himatólot tà·ttihin̥tat                                     
               yil  la·t himatol-ot ta·t-tihi-n̥t-at                                
               day  three four-DIR stand(sg)-CONTIN-PRET                            
               ‘He kept on living for three to four days.’ (1932:10:18-19)</t>
  </si>
  <si>
    <t xml:space="preserve">[Icyutyuˊts ya tanuˊkip co haˊ icpaˊts haˊhat]</t>
  </si>
  <si>
    <t xml:space="preserve">išyucyucya tanúkip šoháh išpácháhat</t>
  </si>
  <si>
    <t xml:space="preserve">iš-,yuc,yuc=ya      tanúk-ip  šo-háh    iš-pác-ø-háh-at</t>
  </si>
  <si>
    <t xml:space="preserve">1PLO-,REDUP,raise=and one-INESS ever-NEG 1PLO-whip-3SS-NEG-PRET</t>
  </si>
  <si>
    <t xml:space="preserve">‘He raised us and never whipped us even once.’ (1932:16:102-03)</t>
  </si>
  <si>
    <t xml:space="preserve">[Icyutyuˊts ya tanuˊkip co haˊ icpaˊts haˊhat]                       
          394) išyucyucya tanúkip šoháh išpácháhat                                  
               iš-,yuc,yuc=ya      tanúk-ip  šo-háh    iš-pác-ø-háh-at              
               1PLO-,REDUP,raise=and one-INESS ever-NEG 1PLO-whip-3SS-NEG-PRET      
               ‘He raised us and never whipped us even once.’ (1932:16:102-03)</t>
  </si>
  <si>
    <t xml:space="preserve">[tsoˊ-ots heˊwip hilc]</t>
  </si>
  <si>
    <t xml:space="preserve">cohòc héwip hílš</t>
  </si>
  <si>
    <t xml:space="preserve">cohoc hew-ip   hilš-ø</t>
  </si>
  <si>
    <t xml:space="preserve">corn many-INESS sift-3SS</t>
  </si>
  <si>
    <t xml:space="preserve">‘He sifts the corn many times.’ (1932:39:2)</t>
  </si>
  <si>
    <t xml:space="preserve">[tsoˊ-ots heˊwip hilc]                                               
          395) cohòc héwip hílš                                                     
               cohoc hew-ip   hilš-ø                                                
               corn many-INESS sift-3SS                                             
               ‘He sifts the corn many times.’ (1932:39:2)</t>
  </si>
  <si>
    <t xml:space="preserve">[woˊc īt]</t>
  </si>
  <si>
    <t xml:space="preserve">wóš í·t</t>
  </si>
  <si>
    <t xml:space="preserve">woš       i·t</t>
  </si>
  <si>
    <t xml:space="preserve">hand/finger face</t>
  </si>
  <si>
    <t xml:space="preserve">‘first finger (index finger)’ (1932:151:1)</t>
  </si>
  <si>
    <t xml:space="preserve">[woˊc īt]                                                            
          396) wóš í·t                                                              
               woš       i·t                                                        
               hand/finger face                                                     
               ‘first finger (index finger)’ (1932:151:1)</t>
  </si>
  <si>
    <t xml:space="preserve">[wi hipaˊ haˊl]</t>
  </si>
  <si>
    <t xml:space="preserve">wi hipá hál</t>
  </si>
  <si>
    <t xml:space="preserve">wi   hipa      hal</t>
  </si>
  <si>
    <t xml:space="preserve">my   husband   back</t>
  </si>
  <si>
    <t xml:space="preserve">‘my second husband; my last husband.’ (1932:35:2)</t>
  </si>
  <si>
    <t xml:space="preserve">[wi hipaˊ haˊl]                                                      
          397) wi hipá hál                                                          
               wi   hipa      hal                                                   
               my   husband   back                                                  
               ‘my second husband; my last husband.’ (1932:35:2)</t>
  </si>
  <si>
    <t xml:space="preserve">{hatnáχkan mḗtsá? hikát nī́t yahaˊl cokī́ng, wí(sh)}</t>
  </si>
  <si>
    <t xml:space="preserve">hatnáhka n̥méc á? hiká·t ní·tya hál šukí·ŋ, wí·š</t>
  </si>
  <si>
    <t xml:space="preserve">hatnah-ka n̥-mec    a    hika·t ni·t=ya hal  šuki·ŋ    wi-iš</t>
  </si>
  <si>
    <t xml:space="preserve">so.much-ADV 2STATS-be.tall Q foot be.five=and more be.half I-FOC</t>
  </si>
  <si>
    <t xml:space="preserve">‘How tall are you? As for me, I am five and a half feet.’ (Gatschet 1885b:83)</t>
  </si>
  <si>
    <t xml:space="preserve">{hatnáχkan mḗtsá? hikát nī́t yahaˊl cokī́ng, wí(sh)}                
          399) hatnáhka n̥méc á? hiká·t ní·tya hál šukí·ŋ, wí·š                     
               hatnah-ka n̥-mec    a    hika·t ni·t=ya hal  šuki·ŋ    wi-iš         
               so.much-ADV 2STATS-be.tall Q foot be.five=and more be.half I-FOC     
               ‘How tall are you? As for me, I am five and a half feet.’ (Gatschet 1885b:83)</t>
  </si>
  <si>
    <t xml:space="preserve">[haˊk himiˊcat]</t>
  </si>
  <si>
    <t xml:space="preserve">há·k himíšat</t>
  </si>
  <si>
    <t xml:space="preserve">ha-ik          hi-miš-ø-at</t>
  </si>
  <si>
    <t xml:space="preserve">s/he-ERG.AGNT  1SO-give-3SS-PRET</t>
  </si>
  <si>
    <t xml:space="preserve">‘He gave it to me.’ (1932:31:2)</t>
  </si>
  <si>
    <t xml:space="preserve">[haˊk himiˊcat]                                                      
          400) há·k himíšat                                                         
               ha-ik          hi-miš-ø-at                                           
               s/he-ERG.AGNT  1SO-give-3SS-PRET                                     
               ‘He gave it to me.’ (1932:31:2)</t>
  </si>
  <si>
    <t xml:space="preserve">[weˊhet himiˊcat]                                                    
          401) wéhet himíšat                                                        
               wehet     hi-miš-ø-at                                                
               I(DIR)    1SO-give-3SS-PRET                                          
               ‘He gave it to me.’ (1932:80:2)</t>
  </si>
  <si>
    <t xml:space="preserve">[caˊ-ik cukteˊ-i hatse-eˊc miˊculat]</t>
  </si>
  <si>
    <t xml:space="preserve">šáik šoktéy hacehéš míšulat</t>
  </si>
  <si>
    <t xml:space="preserve">ša-ik               šoktey    haceheš   ø-miš-ul-at</t>
  </si>
  <si>
    <t xml:space="preserve">someone-ERG.AGNT    medicine  bad(sg)   3OBJ-give-3PLS-PRET</t>
  </si>
  <si>
    <t xml:space="preserve">‘Some people gave them bad medicine.’ (1932:17:112-13)</t>
  </si>
  <si>
    <t xml:space="preserve">[caˊ-ik cukteˊ-i hatse-eˊc miˊculat]                                 
          406) šáik šoktéy hacehéš míšulat                                          
               ša-ik               šoktey    haceheš   ø-miš-ul-at                  
               someone-ERG.AGNT    medicine  bad(sg)   3OBJ-give-3PLS-PRET          
               ‘Some people gave them bad medicine.’ (1932:17:112-13)</t>
  </si>
  <si>
    <t xml:space="preserve">[wīc wi itēˊt iyaniaˊn haˊxcat]</t>
  </si>
  <si>
    <t xml:space="preserve">[wīc wi itēˊt iyaniaˊn haˊxcat]                                      
          407) wí·š wi ité·t hiyanyánháhšat                                         
               wi-iš wi  ite·t hi-yanyan-hahš-at                                    
               I-FOC my  father 1SSTATS-fear-NEG-PRET                               
               ‘I did not fear my father.’ (1932:16:103)</t>
  </si>
  <si>
    <t xml:space="preserve">{tú hōpké kaukáu tá-u iníχkit}</t>
  </si>
  <si>
    <t xml:space="preserve">tú hóp ké kawkáw tawiníhkit</t>
  </si>
  <si>
    <t xml:space="preserve">tu   hop  ø-ke      kawkaw    taw-ø-inih-kit</t>
  </si>
  <si>
    <t xml:space="preserve">boat hole 3SSTATS-have water  STAND-3STATS-come.in-PROG(SG)</t>
  </si>
  <si>
    <t xml:space="preserve">‘The boat has a hole; water is coming in.’ (Gatschet, 1885b:165)</t>
  </si>
  <si>
    <t xml:space="preserve">{tú hōpké kaukáu tá-u iníχkit}                                       
          408) tú hóp ké kawkáw tawiníhkit                                          
               tu   hop  ø-ke      kawkaw    taw-ø-inih-kit                         
               boat hole 3SSTATS-have water  STAND-3STATS-come.in-PROG(SG)          
               ‘The boat has a hole; water is coming in.’ (Gatschet, 1885b:165)</t>
  </si>
  <si>
    <t xml:space="preserve">{Ló hilá-i yok’hití winé-ulat kā́shki}</t>
  </si>
  <si>
    <t xml:space="preserve">ló hiláy yukhìti winéulat káškin.</t>
  </si>
  <si>
    <t xml:space="preserve">lo   hilay yukhiti  wine-ul-at     kaš-kin</t>
  </si>
  <si>
    <t xml:space="preserve">PN   wife Indian    find-3PLS-PRET be.high.tide-WHEN</t>
  </si>
  <si>
    <t xml:space="preserve">‘The Indians found Lo’s wife at high tide.’ (Gatschet 1885b:98)</t>
  </si>
  <si>
    <t xml:space="preserve">{Ló hilá-i yok’hití winé-ulat kā́shki}                               
          410) ló hiláy yukhìti winéulat káškin.                                    
               lo   hilay yukhiti  wine-ul-at     kaš-kin                           
               PN   wife Indian    find-3PLS-PRET be.high.tide-WHEN                 
               ‘The Indians found Lo’s wife at high tide.’ (Gatschet 1885b:98)</t>
  </si>
  <si>
    <t xml:space="preserve">[kakauˊ itaˊns utskaˊucat]</t>
  </si>
  <si>
    <t xml:space="preserve">kakáw itáns uckáwšat</t>
  </si>
  <si>
    <t xml:space="preserve">kakaw itans    uckawš-ø-at</t>
  </si>
  <si>
    <t xml:space="preserve">sun  clouds    cover-3SS-PRET</t>
  </si>
  <si>
    <t xml:space="preserve">‘Clouds covered the sun.’ (1932:53:2)</t>
  </si>
  <si>
    <t xml:space="preserve">[kakauˊ itaˊns utskaˊucat]                                           
          411) kakáw itáns uckáwšat                                                 
               kakaw itans    uckawš-ø-at                                           
               sun  clouds    cover-3SS-PRET                                        
               ‘Clouds covered the sun.’ (1932:53:2)</t>
  </si>
  <si>
    <t xml:space="preserve">šok héw šakwánc úhcat</t>
  </si>
  <si>
    <t xml:space="preserve">šok  hew  šak-wanc  ø-uhc-at</t>
  </si>
  <si>
    <t xml:space="preserve">Thing many 3PLO-tell 3STATS-be.able-PRET</t>
  </si>
  <si>
    <t xml:space="preserve">[Cok heˊ-u cakwaˊnts uˊxtsăt]                                        
          412) šok héw šakwánc úhcat                                                
               šok  hew  šak-wanc  ø-uhc-at                                         
               Thing many 3PLO-tell 3STATS-be.able-PRET                             
               ‘She was able to tell them many things.’ (1932:15:84)</t>
  </si>
  <si>
    <t xml:space="preserve">[nē-cilcnăˊn iˊl toˊlka ciˊlcntat]</t>
  </si>
  <si>
    <t xml:space="preserve">ne·šilšnán íl tólka šílšn̥tat</t>
  </si>
  <si>
    <t xml:space="preserve">ne·šilšnan il  tolka šilš-n̥t-at</t>
  </si>
  <si>
    <t xml:space="preserve">broom     new  well sweep-CONT-PRET</t>
  </si>
  <si>
    <t xml:space="preserve">‘A new broom always sweeps well.’ (resultative preterite) (1932:112:1)</t>
  </si>
  <si>
    <t xml:space="preserve">414) [nē-cilcnăˊn iˊl toˊlka ciˊlcntat]                                   
               ne·šilšnán íl tólka šílšn̥tat                                        
               ne·šilšnan il  tolka šilš-n̥t-at                                     
               broom     new  well sweep-CONT-PRET                                  
               ‘A new broom always sweeps well.’ (resultative preterite) (1932:112:1)</t>
  </si>
  <si>
    <t xml:space="preserve">[Itiˊ tanuˊk okinuˊlulat haˊ aˊñkin]</t>
  </si>
  <si>
    <t xml:space="preserve">ití tanúk hokinúlulat ha áŋkin</t>
  </si>
  <si>
    <t xml:space="preserve">ití  tanuk hok-inul-ul-at     ha   aŋ-kin</t>
  </si>
  <si>
    <t xml:space="preserve">night one RECIP-gather-3PLS-PRET his house-LOC</t>
  </si>
  <si>
    <t xml:space="preserve">‘One night they gathered together at his/her house.’ (1932:17:113-14)</t>
  </si>
  <si>
    <t xml:space="preserve">[Itiˊ tanuˊk okinuˊlulat haˊ aˊñkin]                                 
          415) ití tanúk hokinúlulat ha áŋkin                                       
               ití  tanuk hok-inul-ul-at     ha   aŋ-kin                            
               night one RECIP-gather-3PLS-PRET his house-LOC                       
               ‘One night they gathered together at his/her house.’ (1932:17:113-14)</t>
  </si>
  <si>
    <t xml:space="preserve">[cukaˊulat itiˊ maˊñ mōn]</t>
  </si>
  <si>
    <t xml:space="preserve">šoká·kulat ití máŋ mo·n</t>
  </si>
  <si>
    <t xml:space="preserve">šoka·k-ul-at        ití  maŋ  mo·n</t>
  </si>
  <si>
    <t xml:space="preserve">ceremonial.dance-3PLS-PRET night long all</t>
  </si>
  <si>
    <t xml:space="preserve">‘They did ceremonial dancing all night long.’ (1932:17-18:114-15)</t>
  </si>
  <si>
    <t xml:space="preserve">[cukaˊulat itiˊ maˊñ mōn]                                            
          416) šoká·kulat ití máŋ mo·n                                              
               šoka·k-ul-at        ití  maŋ  mo·n                                   
               ceremonial.dance-3PLS-PRET night long all                            
               ‘They did ceremonial dancing all night long.’ (1932:17-18:114-15)</t>
  </si>
  <si>
    <t xml:space="preserve">há·š nómš tanúk ipúc ke</t>
  </si>
  <si>
    <t xml:space="preserve">ha-iš     nomš tanuk ipuc ø-ke</t>
  </si>
  <si>
    <t xml:space="preserve">s/he-FOC  child one only 3STATS-have</t>
  </si>
  <si>
    <t xml:space="preserve">‘He has only one child.’ (1932:49:2)</t>
  </si>
  <si>
    <t xml:space="preserve">417) há·š nómš tanúk ipúc ke                                              
               ha-iš     nomš tanuk ipuc ø-ke                                       
               s/he-FOC  child one only 3STATS-have                                 
               ‘He has only one child.’ (1932:49:2)</t>
  </si>
  <si>
    <t xml:space="preserve">{néšh akilî́kš tólka láu háχsh}</t>
  </si>
  <si>
    <t xml:space="preserve">néš akilíkš tólka láwháhš</t>
  </si>
  <si>
    <t xml:space="preserve">neš  akilikš   tolka law-ø-hahš</t>
  </si>
  <si>
    <t xml:space="preserve">wood wet       well burn-3SS-NEG</t>
  </si>
  <si>
    <t xml:space="preserve">‘Wet wood does not burn well.’ (Gatschet, 1885b:83)</t>
  </si>
  <si>
    <t xml:space="preserve">{néšh akilî́kš tólka láu háχsh}                                      
          418) néš akilíkš tólka láwháhš                                            
               neš  akilikš   tolka law-ø-hahš                                      
               wood wet       well burn-3SS-NEG                                     
               ‘Wet wood does not burn well.’ (Gatschet, 1885b:83)</t>
  </si>
  <si>
    <t xml:space="preserve">[neˊc palpaˊl aˊnkin nûˊn-kētntat]</t>
  </si>
  <si>
    <t xml:space="preserve">néšpalpaláŋkin núŋke·tn̥tat</t>
  </si>
  <si>
    <t xml:space="preserve">neš-pal,pal-aŋ-kin       nuŋ-ke·t-n̥t-at</t>
  </si>
  <si>
    <t xml:space="preserve">wood-,REDUP,flat-house-LOC village-dwell-CONTIN-PRET</t>
  </si>
  <si>
    <t xml:space="preserve">‘She lived in the village in a split-plank house.’ (1932:14:74)</t>
  </si>
  <si>
    <t xml:space="preserve">[neˊc palpaˊl aˊnkin nûˊn-kētntat]                                   
          419) néšpalpaláŋkin núŋke·tn̥tat                                          
               neš-pal,pal-aŋ-kin       nuŋ-ke·t-n̥t-at                             
               wood-,REDUP,flat-house-LOC village-dwell-CONTIN-PRET                 
               ‘She lived in the village in a split-plank house.’ (1932:14:74)</t>
  </si>
  <si>
    <t xml:space="preserve">[Iˊcāk nīt aˊñlaˊkin cakinaˊ-uculat]</t>
  </si>
  <si>
    <t xml:space="preserve">iša·k ní·t áŋlá·kkin šakináwšulat</t>
  </si>
  <si>
    <t xml:space="preserve">iša·k ni·t aŋla·k-kin šak-inawš-ul-at</t>
  </si>
  <si>
    <t xml:space="preserve">man  five jail-LOC  3PLO-put.in-3PLS-PRET</t>
  </si>
  <si>
    <t xml:space="preserve">‘They put five men in jail.’ (1932:20:148)</t>
  </si>
  <si>
    <t xml:space="preserve">[Iˊcāk nīt aˊñlaˊkin cakinaˊ-uculat]                                 
          420) iša·k ní·t áŋlá·kkin šakináwšulat                                    
               iša·k ni·t aŋla·k-kin šak-inawš-ul-at                                
               man  five jail-LOC  3PLO-put.in-3PLS-PRET                            
               ‘They put five men in jail.’ (1932:20:148)</t>
  </si>
  <si>
    <t xml:space="preserve">[Yukiˊt nuˊnkin puˊm ichāˊxc a itiyiˊlc]                             
          421) yukít núŋkin púm išháhš á itiyílš                                    
               yukit nuŋ-kin  pum       iš-hahš        a    itiyilš                 
               our  village-LOC dance   1PLSTATS-not.have this month                
               ‘We are not having a dance in our village this month.’ (1932:13:53)</t>
  </si>
  <si>
    <t xml:space="preserve">[kidsoˊnc wi ukutkaˊ-uc maˊñkin tehoˊp laˊwat]</t>
  </si>
  <si>
    <t xml:space="preserve">kicóŋš wi okotkáwšmáŋkin tehóp láwat</t>
  </si>
  <si>
    <t xml:space="preserve">kicoŋš wi okotkawš-máŋ-kin tehop law-ø-at</t>
  </si>
  <si>
    <t xml:space="preserve">fire my   shirt-long-LOC hole burn-3SS-PRET</t>
  </si>
  <si>
    <t xml:space="preserve">‘The fire burned a hole in my coat.’ (1932:79:2)</t>
  </si>
  <si>
    <t xml:space="preserve">[kidsoˊnc wi ukutkaˊ-uc maˊñkin tehoˊp laˊwat]                       
          422) kicóŋš wi okotkáwšmáŋkin tehóp láwat                                 
               kicoŋš wi okotkawš-máŋ-kin tehop law-ø-at                            
               fire my   shirt-long-LOC hole burn-3SS-PRET                          
               ‘The fire burned a hole in my coat.’ (1932:79:2)</t>
  </si>
  <si>
    <t xml:space="preserve">[Yuk’híti icāk wāci a nēp nūn nultíhinst]</t>
  </si>
  <si>
    <t xml:space="preserve">yukhíti išá·k wáši a né·p nuŋnùltíhin̥st</t>
  </si>
  <si>
    <t xml:space="preserve">yukhiti   iša·k     waši a    ne·-ip</t>
  </si>
  <si>
    <t xml:space="preserve">Indian    people    old  this land-INESS</t>
  </si>
  <si>
    <t xml:space="preserve">nuŋ-nul-tihi-n̥st</t>
  </si>
  <si>
    <t xml:space="preserve">village-live- PST.PROG-CUSTOM</t>
  </si>
  <si>
    <t xml:space="preserve">‘The old Indian people customarily used to live in villages in this land.’ (1932:9:1)</t>
  </si>
  <si>
    <t xml:space="preserve">[Yuk’híti icāk wāci a nēp nūn nultíhinst]                            
          423) yukhíti išá·k wáši a né·p nuŋnùltíhin̥st                             
               yukhiti   iša·k     waši a    ne·-ip                                 
               Indian    people    old  this land-INESS                             
               nuŋ-nul-tihi-n̥st                                                    
               village-live- PST.PROG-CUSTOM                                        
               ‘The old Indian people customarily used to live in villages in this land.’ (1932:9:1)</t>
  </si>
  <si>
    <t xml:space="preserve">water     3STATS-drink-WHEN ear-EL come.out-CONTIN-PRET</t>
  </si>
  <si>
    <t xml:space="preserve">[kaukaˊ-u aˊm’n aˊnike ntaˊhĕntat]                                   
          425) kawkáw ámn̥ ánike n̥táhn̥ tat                                        
               kawkaw    ø-am-n̥        an-ike    n̥tah-n̥t-at                      
               water     3STATS-drink-WHEN ear-EL come.out-CONTIN-PRET              
               ‘When he drank water, it kept on coming out of his ears. (1932:10:19-20)</t>
  </si>
  <si>
    <t xml:space="preserve">[yā icak akipai-iˊke ōt]                                             
          426) ya išá·k akipáyike ók                                                
               ya   iša·k     akipay-ike ok-ø                                       
               that person    south-EL  come-3SS                                    
               ‘That man comes from the south.’ (1932:24:1)</t>
  </si>
  <si>
    <t xml:space="preserve">[Yuk’hiˊt itēˊt peˊl (Cyprien) icaˊk toˊkat yukiˊt noˊmc oˊt]</t>
  </si>
  <si>
    <t xml:space="preserve">yukít ité·tpél &lt;Cyprien&gt; iša·k tólat yukít nómšot</t>
  </si>
  <si>
    <t xml:space="preserve">yukit ite·t-pel &lt;Cyprien&gt; iša·k ø-tol-at     yukit nomš-ot</t>
  </si>
  <si>
    <t xml:space="preserve">our  father-far PN       person 3STATS-good-PRET we child-DIR</t>
  </si>
  <si>
    <t xml:space="preserve">‘Our step-father Cyprien was a good man to us children.’ (1932:16:101-02)</t>
  </si>
  <si>
    <t xml:space="preserve">[Yuk’hiˊt itēˊt peˊl (Cyprien) icaˊk toˊkat yukiˊt noˊmc oˊt]        
          428) yukít ité·tpél &lt;Cyprien&gt; iša·k tólat yukít nómšot                    
               yukit ite·t-pel &lt;Cyprien&gt; iša·k ø-tol-at     yukit nomš-ot           
               our  father-far PN       person 3STATS-good-PRET we child-DIR        
               ‘Our step-father Cyprien was a good man to us children.’ (1932:16:101-02)</t>
  </si>
  <si>
    <t xml:space="preserve">[haˊ ot miˊcat]</t>
  </si>
  <si>
    <t xml:space="preserve">háot míšat</t>
  </si>
  <si>
    <t xml:space="preserve">ha-ot     ø-miš-ø-at</t>
  </si>
  <si>
    <t xml:space="preserve">he-DIR    3SO-give-3SS-PRET</t>
  </si>
  <si>
    <t xml:space="preserve">‘He gave it to him’ (1932:32:1)</t>
  </si>
  <si>
    <t xml:space="preserve">[haˊ ot miˊcat]                                                      
          429) háot míšat                                                           
               ha-ot     ø-miš-ø-at                                                 
               he-DIR    3SO-give-3SS-PRET                                          
               ‘He gave it to him’ (1932:32:1)</t>
  </si>
  <si>
    <t xml:space="preserve">[Yukiˊti mōˊne oˊk-inuˊlulat imōˊc oˊt tiˊune]                       
          430) yukhíti mó·ni hokinúlulat himó·šot tíwne                             
               yukhiti   mo·ni     hok-inul-ul-at      himo·š-ot tiw-ne             
               Indian    all(human) RECIP-gather-3PLS-PRET burial-DIR go(pl)-GER    
               ‘All the Indians gathered together to go to the burial.’ (1932:18:125-26)</t>
  </si>
  <si>
    <t xml:space="preserve">[yukiˊti nuˊnkin kēˊt’ntat Yuk’hiˊti Tuˊl toˊlpot inoˊ]</t>
  </si>
  <si>
    <t xml:space="preserve">[yukiˊti nuˊnkin kēˊt’ntat Yuk’hiˊti Tuˊl toˊlpot inoˊ]              
          431) yukhíti núŋkin ké·tn̥tat yukhíti túl tólpot inó                      
               yukhiti nuŋ-kin ke·t-n̥t-at   yukhiti   tul  tolpot ino              
               Indian village-LOC dwell-CONTIN-PRET Indian lake east side           
               ‘She used to live in an Indian village on the east side of Lake Prien (Indian Lake).’
               (1932:14:71)</t>
  </si>
  <si>
    <t xml:space="preserve">néšpalpaláŋkin nuŋkè·tn̥tat</t>
  </si>
  <si>
    <t xml:space="preserve">[neˊc palpaˊl aˊnkin nûˊn-kētntat]                                   
          432) néšpalpaláŋkin nuŋkè·tn̥tat                                          
               neš-pal,pal-aŋ-kin       nuŋ-ke·t-n̥t-at                             
               wood-,REDUP,flat-house-LOC village-dwell-CONTIN-PRET                 
               ‘She lived in the village in a split-plank house.’ (1932:14:74)</t>
  </si>
  <si>
    <t xml:space="preserve">[Yuk’hiˊti icāk wāci a nēp nūn nultiˊhinst]</t>
  </si>
  <si>
    <t xml:space="preserve">yukhíti iša·k wáši a né·p nuŋnúltíhin̥st</t>
  </si>
  <si>
    <t xml:space="preserve">[Yuk’hiˊti icāk wāci a nēp nūn nultiˊhinst]                          
          433) yukhíti iša·k wáši a né·p nuŋnúltíhin̥st                             
               yukhiti   iša·k     waši a    ne·-ip                                 
               Indian    people    old  this land-INESS                             
               nuŋ-nul-tihi-n̥st                                                    
               village-live- PST.PROG-CUSTOM                                        
               ‘The old Indian people customarily used to live in villages in this land.’ (1932:9:1)</t>
  </si>
  <si>
    <t xml:space="preserve">[icāk tuˊkēt]</t>
  </si>
  <si>
    <t xml:space="preserve">išá·k tuké·t</t>
  </si>
  <si>
    <t xml:space="preserve">iša·k tu-ke·t-ø</t>
  </si>
  <si>
    <t xml:space="preserve">man  boat-sit(sg)-3SS (1932:61:2)</t>
  </si>
  <si>
    <t xml:space="preserve">[icāk tuˊkēt]                                                        
          435) išá·k tuké·t                                                         
               iša·k tu-ke·t-ø                                                      
               man  boat-sit(sg)-3SS (1932:61:2)</t>
  </si>
  <si>
    <t xml:space="preserve">{há án nēp}</t>
  </si>
  <si>
    <t xml:space="preserve">ha áŋ né·p</t>
  </si>
  <si>
    <t xml:space="preserve">ha     aŋ      ø-ne·p</t>
  </si>
  <si>
    <t xml:space="preserve">his/her house  3STATS-be.low</t>
  </si>
  <si>
    <t xml:space="preserve">‘His/her house is low.’ (Gatschet, 1885b:6)</t>
  </si>
  <si>
    <t xml:space="preserve">{há án nēp}                                                          
          436) ha áŋ né·p                                                           
               ha     aŋ      ø-ne·p                                                
               his/her house  3STATS-be.low                                         
               ‘His/her house is low.’ (Gatschet, 1885b:6)</t>
  </si>
  <si>
    <t xml:space="preserve">{yukít ángsh nēp}</t>
  </si>
  <si>
    <t xml:space="preserve">yukít áŋš né·p</t>
  </si>
  <si>
    <t xml:space="preserve">yukit  aŋ-š         ø-ne·p</t>
  </si>
  <si>
    <t xml:space="preserve">our    house-FOC    3STATS-be.low</t>
  </si>
  <si>
    <t xml:space="preserve">‘Our house is low.’ (Gatschet, 1885b:6)</t>
  </si>
  <si>
    <t xml:space="preserve">{yukít ángsh nēp}                                                    
          437) yukít áŋš né·p                                                       
               yukit  aŋ-š         ø-ne·p                                           
               our    house-FOC    3STATS-be.low                                    
               ‘Our house is low.’ (Gatschet, 1885b:6)</t>
  </si>
  <si>
    <t xml:space="preserve">{a-ití-ish hiwáleshta}</t>
  </si>
  <si>
    <t xml:space="preserve">á itíiš hiwálšta</t>
  </si>
  <si>
    <t xml:space="preserve">a    ití-iš    hiwalš-ta</t>
  </si>
  <si>
    <t xml:space="preserve">this night-FOC dream-PCPL</t>
  </si>
  <si>
    <t xml:space="preserve">‘I am to dream tonight.’ (Gatschet, 1885b:10)</t>
  </si>
  <si>
    <t xml:space="preserve">{a-ití-ish hiwáleshta}                                               
          439) á itíiš hiwálšta                                                     
               a    ití-iš    hiwalš-ta                                             
               this night-FOC dream-PCPL                                            
               ‘I am to dream tonight.’ (Gatschet, 1885b:10)</t>
  </si>
  <si>
    <t xml:space="preserve">{hilḗmsh}</t>
  </si>
  <si>
    <t xml:space="preserve">hilé·mš</t>
  </si>
  <si>
    <t xml:space="preserve">hi-ø-le·mš          hi-ø-le·mš</t>
  </si>
  <si>
    <t xml:space="preserve">1SO-3STATS-love     1SSTATS-3SO-love</t>
  </si>
  <si>
    <t xml:space="preserve">‘He loves me.’      ‘I love him.’ (Gatschet, 1885b:58)</t>
  </si>
  <si>
    <t xml:space="preserve">{hilḗmsh}                                                           
          440) hilé·mš                                                              
               hi-ø-le·mš          hi-ø-le·mš                                       
               1SO-3STATS-love     1SSTATS-3SO-love                                 
               ‘He loves me.’      ‘I love him.’ (Gatschet, 1885b:58)</t>
  </si>
  <si>
    <t xml:space="preserve">[Atsiˊc-kic haˊ waˊnat]</t>
  </si>
  <si>
    <t xml:space="preserve">“hihaccíškišháh,” wánat</t>
  </si>
  <si>
    <t xml:space="preserve">hi-hat-ciškiš-hah        wan-ø-at</t>
  </si>
  <si>
    <t xml:space="preserve">1SSTATS-REFLEX-be.pleased-NEG say-3SS-PRET</t>
  </si>
  <si>
    <t xml:space="preserve">‘“I am not pleased,” she said.’ (1932:20:143)</t>
  </si>
  <si>
    <t xml:space="preserve">[Atsiˊc-kic haˊ waˊnat]                                              
          442) “hihaccíškišháh,” wánat                                              
               hi-hat-ciškiš-hah        wan-ø-at                                    
               1SSTATS-REFLEX-be.pleased-NEG say-3SS-PRET                           
               ‘“I am not pleased,” she said.’ (1932:20:143)</t>
  </si>
  <si>
    <t xml:space="preserve">[wic ivīˊv há coˊx̥ ’nwaˊnkit]                                       
          443) wí·š hiwíwhah šokn̥wánkit                                            
               wi·š hi-wiw-hah          šok-n̥ -wan-kit                             
               I-FOC 1SSTAT-believe-NEG STH-2SSTATS-say-PROG                        
               ‘I do not believe anything you are saying.’ (1932:34:2)</t>
  </si>
  <si>
    <t xml:space="preserve">[paknaˊ-u wan năn hioˊñc]                                            
          446) paknáwwáŋne nhióŋš                                                   
               paknaw-waŋ-ne  n-hi-oŋš                                              
               run-go.about-GER 2SO-1SSTATS-not.to.want                             
               ‘I don’t want you to go running about.’ (1932:101:2)</t>
  </si>
  <si>
    <t xml:space="preserve">[Kēˊtne naˊmtsel tiˊc hāˊxcne]                                       
          447) ké·tne námcel tišhahšne                                              
               ke·t-ne   nam-cel   tiš-hahš-ne                                      
               stay-GER  beg-1PLS  go(sg)-NEG-GER                                   
               ‘We begged her to stay and not to go.’ (1932:17:110-111)</t>
  </si>
  <si>
    <t xml:space="preserve">[haˊ Yuk’hiˊti ēñ Konāˊc]</t>
  </si>
  <si>
    <t xml:space="preserve">ha yukhíti é·ŋ koná·š</t>
  </si>
  <si>
    <t xml:space="preserve">ha   yukhiti   e·ŋ  kona·š</t>
  </si>
  <si>
    <t xml:space="preserve">his  Indian    name PN</t>
  </si>
  <si>
    <t xml:space="preserve">‘His Indian name is Kona·š.’ (1932:15:82-83)</t>
  </si>
  <si>
    <t xml:space="preserve">[haˊ Yuk’hiˊti ēñ Konāˊc]                                            
          448) ha yukhíti é·ŋ koná·š                                                
               ha   yukhiti   e·ŋ  kona·š                                           
               his  Indian    name PN                                               
               ‘His Indian name is Kona·š.’ (1932:15:82-83)</t>
  </si>
  <si>
    <t xml:space="preserve">[cikoˊm ‘n canuˊk haˊxcĕt]</t>
  </si>
  <si>
    <t xml:space="preserve">šikómn̥ canúk háhšat</t>
  </si>
  <si>
    <t xml:space="preserve">šikom=n̥  canuk     ø-hahš-at</t>
  </si>
  <si>
    <t xml:space="preserve">cow=and   horse     3STATS-not.have-PRET</t>
  </si>
  <si>
    <t xml:space="preserve">‘She did not have cows or horses.’ (1932:15:80)</t>
  </si>
  <si>
    <t xml:space="preserve">[cikoˊm ‘n canuˊk haˊxcĕt]                                           
          451) šikómn̥ canúk háhšat                                                 
               šikom=n̥  canuk     ø-hahš-at                                        
               cow=and   horse     3STATS-not.have-PRET                             
               ‘She did not have cows or horses.’ (1932:15:80)</t>
  </si>
  <si>
    <t xml:space="preserve">[ickiciˊl ēñ Louison Yuk’hiˊti ēñ Yoyoˊt ‘n Kic Yuˊts]</t>
  </si>
  <si>
    <t xml:space="preserve">iškišíl é·ŋ &lt;Louison&gt; yukhíti é·ŋ yoyótn̥ kišyúc</t>
  </si>
  <si>
    <t xml:space="preserve">iškišíl   é·ŋ  &lt;Louison&gt; yukhíti   é·ŋ  yoyót=n̥  kišyúc</t>
  </si>
  <si>
    <t xml:space="preserve">daughter  name PN        Indian    name PN=and    PN</t>
  </si>
  <si>
    <t xml:space="preserve">‘Her daughter’s name is Louison; her Indian names are Yoyót and Kišyúts.’ (1932:15:83-84)</t>
  </si>
  <si>
    <t xml:space="preserve">[ickiciˊl ēñ Louison Yuk’hiˊti ēñ Yoyoˊt ‘n Kic Yuˊts]               
          452) iškišíl é·ŋ &lt;Louison&gt; yukhíti é·ŋ yoyótn̥ kišyúc                     
               iškišíl   é·ŋ  &lt;Louison&gt; yukhíti   é·ŋ  yoyót=n̥  kišyúc             
               daughter  name PN        Indian    name PN=and    PN                 
               ‘Her daughter’s name is Louison; her Indian names are Yoyót and Kišyúts.’
               (1932:15:83-84)</t>
  </si>
  <si>
    <t xml:space="preserve">{nē n’itans’n icāk’n mōni}</t>
  </si>
  <si>
    <t xml:space="preserve">né·n̥ itánšn̥ išá·kn̥ mó·ni</t>
  </si>
  <si>
    <t xml:space="preserve">ne·=n̥    itanš=n̥       iša·k=n̥  mo·ni</t>
  </si>
  <si>
    <t xml:space="preserve">earth=and sky/cloud=and  person=and all(animate)</t>
  </si>
  <si>
    <t xml:space="preserve">‘The earth and sky and people and all living things.’ (Gatschet, 1885b:87)</t>
  </si>
  <si>
    <t xml:space="preserve">{nē n’itans’n icāk’n mōni}                                           
          453) né·n̥ itánšn̥ išá·kn̥ mó·ni                                          
               ne·=n̥    itanš=n̥       iša·k=n̥  mo·ni                             
               earth=and sky/cloud=and  person=and all(animate)                     
               ‘The earth and sky and people and all living things.’ (Gatschet, 1885b:87)</t>
  </si>
  <si>
    <t xml:space="preserve">[Kaˊ-u oˊkin toˊkc ya imōˊculat]</t>
  </si>
  <si>
    <t xml:space="preserve">káw ókkin tókšya himó·šulat</t>
  </si>
  <si>
    <t xml:space="preserve">kaw       ok-kin    tokš=ya        himo·š-ul-at</t>
  </si>
  <si>
    <t xml:space="preserve">dead.person cloth-LOC wrap=and     bury-3PLS-PRET</t>
  </si>
  <si>
    <t xml:space="preserve">‘They wrapped the dead person in cloth and buried him/her.’ (1932:18:126)</t>
  </si>
  <si>
    <t xml:space="preserve">[Kaˊ-u oˊkin toˊkc ya imōˊculat]                                     
          454) káw ókkin tókšya himó·šulat                                          
               kaw       ok-kin    tokš=ya        himo·š-ul-at                      
               dead.person cloth-LOC wrap=and     bury-3PLS-PRET                    
               ‘They wrapped the dead person in cloth and buried him/her.’ (1932:18:126)</t>
  </si>
  <si>
    <t xml:space="preserve">[Imōˊc mak māˊñ kaˊ ya hoˊxp naˊ-ulat coˊ itaˊxne]</t>
  </si>
  <si>
    <t xml:space="preserve">himo·šmak máŋ káya hóp náwulat šó hitáhne</t>
  </si>
  <si>
    <t xml:space="preserve">himo·š-mak maŋ ka=ya     hop  naw-ul-at      šo</t>
  </si>
  <si>
    <t xml:space="preserve">grave-mound long make=and hole leave-3PLS-PRET soul</t>
  </si>
  <si>
    <t xml:space="preserve">hitah-ne</t>
  </si>
  <si>
    <t xml:space="preserve">come-out-GER</t>
  </si>
  <si>
    <t xml:space="preserve">‘They made a long grave-mound, and left a hole for the soul to come out.’ (1932:19:139- 140)</t>
  </si>
  <si>
    <t xml:space="preserve">[Imōˊc mak māˊñ kaˊ ya hoˊxp naˊ-ulat coˊ itaˊxne]                   
          455) himo·šmak máŋ káya hóp náwulat šó hitáhne                            
               himo·š-mak maŋ ka=ya     hop  naw-ul-at      šo                      
               grave-mound long make=and hole leave-3PLS-PRET soul                  
               hitah-ne                                                             
               come-out-GER                                                         
               ‘They made a long grave-mound, and left a hole for the soul to come out.’ (1932:19:139-
               140)</t>
  </si>
  <si>
    <t xml:space="preserve">{wi kitsāk ámwangyě himakáwět}</t>
  </si>
  <si>
    <t xml:space="preserve">wí kicá·k ámwáŋya himakáwat</t>
  </si>
  <si>
    <t xml:space="preserve">wi   kica·k    am-waŋ=ya      hi-makaw-at</t>
  </si>
  <si>
    <t xml:space="preserve">I    whiskey   drink-go.about=and 1SSTATS-fall-PRET</t>
  </si>
  <si>
    <t xml:space="preserve">‘I was going about drinking whiskey, and I fell down.’ (Gatschet, 1885b:86)</t>
  </si>
  <si>
    <t xml:space="preserve">{wi kitsāk ámwangyě himakáwět}                                       
          457) wí kicá·k ámwáŋya himakáwat                                          
               wi   kica·k    am-waŋ=ya      hi-makaw-at                            
               I    whiskey   drink-go.about=and 1SSTATS-fall-PRET                  
               ‘I was going about drinking whiskey, and I fell down.’ (Gatschet, 1885b:86)</t>
  </si>
  <si>
    <t xml:space="preserve">[īclaˊuc taˊtik kaˊwat yaˊ haˊ nuˊnkin imoˊculat]</t>
  </si>
  <si>
    <t xml:space="preserve">hišláwš tá·tik káwatya ha núŋkin himó·šulat</t>
  </si>
  <si>
    <t xml:space="preserve">hišlawš   ta·t-ik        ø-kaw-at=ya         ha   nuŋ-kin</t>
  </si>
  <si>
    <t xml:space="preserve">fever     yellow-ERG.INSTR 3SSTATS-die-PRET=and her village-LOC</t>
  </si>
  <si>
    <t xml:space="preserve">himo·š-ul-at</t>
  </si>
  <si>
    <t xml:space="preserve">bury-3PLS-PRET</t>
  </si>
  <si>
    <t xml:space="preserve">‘She died of yellow fever, and they buried her in her village.’ (1932:15:88-89)</t>
  </si>
  <si>
    <t xml:space="preserve">[īclaˊuc taˊtik kaˊwat yaˊ haˊ nuˊnkin imoˊculat]                    
          458) hišláwš tá·tik káwatya ha núŋkin himó·šulat                          
               hišlawš   ta·t-ik        ø-kaw-at=ya         ha   nuŋ-kin            
               fever     yellow-ERG.INSTR 3SSTATS-die-PRET=and her village-LOC      
               himo·š-ul-at                                                         
               bury-3PLS-PRET                                                       
               ‘She died of yellow fever, and they buried her in her village.’ (1932:15:88-89)</t>
  </si>
  <si>
    <t xml:space="preserve">[Kic moˊkat yaˊ yoˊlĕt]</t>
  </si>
  <si>
    <t xml:space="preserve">kiš mókatya yó·lat</t>
  </si>
  <si>
    <t xml:space="preserve">kiš       ø-mok-at=ya         ø-yo·l-at</t>
  </si>
  <si>
    <t xml:space="preserve">woman     3STATS-be.short-PRET=and 3STATS-be.ill.tempered-PRET</t>
  </si>
  <si>
    <t xml:space="preserve">‘She was a short woman and an ill-tempered one.’ (1932:15:78-80)</t>
  </si>
  <si>
    <t xml:space="preserve">[Kic moˊkat yaˊ yoˊlĕt]                                              
          459) kiš mókatya yó·lat                                                   
               kiš       ø-mok-at=ya         ø-yo·l-at                              
               woman     3STATS-be.short-PRET=and 3STATS-be.ill.tempered-PRET       
               ‘She was a short woman and an ill-tempered one.’ (1932:15:78-80)</t>
  </si>
  <si>
    <t xml:space="preserve">[oˊk ‘nuˊxts aˊ’ntaˊnat ‘nhaˊh]</t>
  </si>
  <si>
    <t xml:space="preserve">ók n̥úhc á n̥tánat n̥háh</t>
  </si>
  <si>
    <t xml:space="preserve">ok   n̥-uhc         a    n̥tan-at  n̥-hah</t>
  </si>
  <si>
    <t xml:space="preserve">come 2SSTATS-be.able Q   be.or-PRET 2SSTATS-be.not</t>
  </si>
  <si>
    <t xml:space="preserve">‘Are you able to come? Or are you not?’4 (1932:12:43)</t>
  </si>
  <si>
    <t xml:space="preserve">[oˊk ‘nuˊxts aˊ’ntaˊnat ‘nhaˊh]                                      
          461) ók n̥úhc á n̥tánat n̥háh                                             
               ok   n̥-uhc         a    n̥tan-at  n̥-hah                            
               come 2SSTATS-be.able Q   be.or-PRET 2SSTATS-be.not                   
               ‘Are you able to come? Or are you not?’4 (1932:12:43)</t>
  </si>
  <si>
    <t xml:space="preserve">[miˊlc kcoˊ yiˊlmāñ cokaˊx̥ kit]</t>
  </si>
  <si>
    <t xml:space="preserve">mílškšó yíl máŋ šokkákit</t>
  </si>
  <si>
    <t xml:space="preserve">ø-milš-kšo     yil  maŋ       ø-šok=ka-kit</t>
  </si>
  <si>
    <t xml:space="preserve">3STATS-be.blind-BUT day be.long 3STATS-thing=do-PROG(SG)</t>
  </si>
  <si>
    <t xml:space="preserve">‘He is blind, but he is doing things all throughout the day.’ (1932:72:2)</t>
  </si>
  <si>
    <t xml:space="preserve">[miˊlc kcoˊ yiˊlmāñ cokaˊx̥ kit]                                     
          462) mílškšó yíl máŋ šokkákit                                             
               ø-milš-kšo     yil  maŋ       ø-šok=ka-kit                           
               3STATS-be.blind-BUT day be.long 3STATS-thing=do-PROG(SG)             
               ‘He is blind, but he is doing things all throughout the day.’ (1932:72:2)</t>
  </si>
  <si>
    <t xml:space="preserve">[heˊ (k)co toˊlha]</t>
  </si>
  <si>
    <t xml:space="preserve">hékšó tólháh</t>
  </si>
  <si>
    <t xml:space="preserve">ø-he-kšo                      ø-tol-hah</t>
  </si>
  <si>
    <t xml:space="preserve">3STATS-be.strong.tasting-BUT 3STATS-be.good-NEG</t>
  </si>
  <si>
    <t xml:space="preserve">‘It is strong-tasting, but not good.’ (1932:72:2)</t>
  </si>
  <si>
    <t xml:space="preserve">[heˊ (k)co toˊlha]                                                   
          463) hékšó tólháh                                                         
               ø-he-kšo                      ø-tol-hah                              
               3STATS-be.strong.tasting-BUT 3STATS-be.good-NEG                      
               ‘It is strong-tasting, but not good.’ (1932:72:2)</t>
  </si>
  <si>
    <t xml:space="preserve">[hicokēc kcoˊ yiˊlkit mōn tiˊco]</t>
  </si>
  <si>
    <t xml:space="preserve">hišoké·škšó yílkit mo·n tíšo</t>
  </si>
  <si>
    <t xml:space="preserve">hi-šoke·š-kšo  yil-kit        mo·n tiš-o</t>
  </si>
  <si>
    <t xml:space="preserve">1SSTATS-be.sick-BUT be.day-PROG(SG) all go-1SS</t>
  </si>
  <si>
    <t xml:space="preserve">‘I am sick, but I go out every day.’ (1932:156:1)</t>
  </si>
  <si>
    <t xml:space="preserve">[hicokēc kcoˊ yiˊlkit mōn tiˊco]                                     
          464) hišoké·škšó yílkit mo·n tíšo                                         
               hi-šoke·š-kšo  yil-kit        mo·n tiš-o                             
               1SSTATS-be.sick-BUT be.day-PROG(SG) all go-1SS                       
               ‘I am sick, but I go out every day.’ (1932:156:1)</t>
  </si>
  <si>
    <t xml:space="preserve">[icāk hiyaniaˊncoˊ tiwē tiˊco]</t>
  </si>
  <si>
    <t xml:space="preserve">išá·k hiyanyánkšó tiwé·tíšo</t>
  </si>
  <si>
    <t xml:space="preserve">iša·k     hi-yanyan-kšo  tiwé·-tiš-o</t>
  </si>
  <si>
    <t xml:space="preserve">person    1SSTATS-fear-BUT be.with-go-1SS</t>
  </si>
  <si>
    <t xml:space="preserve">‘I am afraid of the man, but I am going with him.’ (1932:29:1)</t>
  </si>
  <si>
    <t xml:space="preserve">[icāk hiyaniaˊncoˊ tiwē tiˊco]                                       
          465) išá·k hiyanyánkšó tiwé·tíšo                                          
               iša·k     hi-yanyan-kšo  tiwé·-tiš-o                                 
               person    1SSTATS-fear-BUT be.with-go-1SS                            
               ‘I am afraid of the man, but I am going with him.’ (1932:29:1)</t>
  </si>
  <si>
    <t xml:space="preserve">[Wi okēˊt māñ ilāñ-wāˊñtat]</t>
  </si>
  <si>
    <t xml:space="preserve">wi oké·t máŋ iláŋwáŋn̥ tat</t>
  </si>
  <si>
    <t xml:space="preserve">wi   oke·t     maŋ       ilaŋ-waŋ-n̥t-at</t>
  </si>
  <si>
    <t xml:space="preserve">my   mother    long.time mourn-go.about CONTIN-PRET</t>
  </si>
  <si>
    <t xml:space="preserve">‘My mother kept on going about mourning for a long time.’ (1932:17:105)</t>
  </si>
  <si>
    <t xml:space="preserve">[Wi okēˊt māñ ilāñ-wāˊñtat]                                          
          466) wi oké·t máŋ iláŋwáŋn̥ tat                                           
               wi   oke·t     maŋ       ilaŋ-waŋ-n̥t-at                             
               my   mother    long.time mourn-go.about CONTIN-PRET                  
               ‘My mother kept on going about mourning for a long time.’ (1932:17:105)</t>
  </si>
  <si>
    <t xml:space="preserve">ha šokhokinácne mó·n hoktiwé·himó·šulat</t>
  </si>
  <si>
    <t xml:space="preserve">ha   šokhokinacne mo·n hok-tiwe·-himo·š-ul-at</t>
  </si>
  <si>
    <t xml:space="preserve">his  weapons   all  RECIP-be.together-bury-3PLS-PRET</t>
  </si>
  <si>
    <t xml:space="preserve">‘They buried all his weapons together with him.’ (1932:19:129-30)</t>
  </si>
  <si>
    <t xml:space="preserve">467) ha šokhokinácne mó·n hoktiwé·himó·šulat                              
               ha   šokhokinacne mo·n hok-tiwe·-himo·š-ul-at                        
               his  weapons   all  RECIP-be.together-bury-3PLS-PRET                 
               ‘They buried all his weapons together with him.’ (1932:19:129-30)</t>
  </si>
  <si>
    <t xml:space="preserve">[Kaˊ-i aˊn kaˊt-paˊ-ic naˊ-ulat haˊ aˊnkin kaˊ-u atkaˊki tiˊk imōˊctin Neˊ taˊmkin yaˊ]</t>
  </si>
  <si>
    <t xml:space="preserve">káy aŋkát páyš náwulat ha áŋkin káw atkáki tikhimó·štin né·támkinya</t>
  </si>
  <si>
    <t xml:space="preserve">kay       aŋkat payš naw-ul-at     ha   aŋ-kin</t>
  </si>
  <si>
    <t xml:space="preserve">and.then  door open leave-3PL-PRET his  house-LOC</t>
  </si>
  <si>
    <t xml:space="preserve">ø-kaw          atkaki    tik  himo·š-ti-n    ne·tam-kin=ya</t>
  </si>
  <si>
    <t xml:space="preserve">3STATS-die(sg) since     until bury-PSTPROG-WHEN grave-LOC=and</t>
  </si>
  <si>
    <t xml:space="preserve">‘And then they left the door open in his/her house from the time of his death until they buried him/her in a grave, and…. (1932:18:122-24)</t>
  </si>
  <si>
    <t xml:space="preserve">[Kaˊ-i aˊn kaˊt-paˊ-ic naˊ-ulat haˊ aˊnkin kaˊ-u atkaˊki tiˊk imōˊctin Neˊ taˊmkin yaˊ]
          468) káy aŋkát páyš náwulat ha áŋkin káw atkáki tikhimó·štin né·támkinya  
               kay       aŋkat payš naw-ul-at     ha   aŋ-kin                       
               and.then  door open leave-3PL-PRET his  house-LOC                    
               ø-kaw          atkaki    tik  himo·š-ti-n    ne·tam-kin=ya           
               3STATS-die(sg) since     until bury-PSTPROG-WHEN grave-LOC=and       
               ‘And then they left the door open in his/her house from the time of his death
               until they buried him/her in a grave, and…. (1932:18:122-24)</t>
  </si>
  <si>
    <t xml:space="preserve">[iti māˊñ hiwāˊlc tik yiˊlat]</t>
  </si>
  <si>
    <t xml:space="preserve">ití máŋ hi·wálš tik yílat</t>
  </si>
  <si>
    <t xml:space="preserve">ití  maŋ       hi-hiwalš      tik  yil-at</t>
  </si>
  <si>
    <t xml:space="preserve">night be.long  1SSTATS-dream  until be.day-PRET</t>
  </si>
  <si>
    <t xml:space="preserve">‘I dreamed all night until it was day.’ (1932:43:1)</t>
  </si>
  <si>
    <t xml:space="preserve">[iti māˊñ hiwāˊlc tik yiˊlat]                                        
          469) ití máŋ hi·wálš tik yílat                                            
               ití  maŋ       hi-hiwalš      tik  yil-at                            
               night be.long  1SSTATS-dream  until be.day-PRET                      
               ‘I dreamed all night until it was day.’ (1932:43:1)</t>
  </si>
  <si>
    <t xml:space="preserve">kicá·k káwya wáŋšakpámkóhya šakhéwš (for wáŋšakhéwškóh)</t>
  </si>
  <si>
    <t xml:space="preserve">kica·k    ø-kaw=ya       waŋ-šak-pam-koh=ya       šak-hewš</t>
  </si>
  <si>
    <t xml:space="preserve">whiskey   3STATS-die(sg)=and go.about-3PLOBJ-beat-DESID=and 3PLOBJ-curse</t>
  </si>
  <si>
    <t xml:space="preserve">‘She got drunk and wanted to go about beating people and cursing them.’ (1932:15:79-80)</t>
  </si>
  <si>
    <t xml:space="preserve">470) kicá·k káwya wáŋšakpámkóhya šakhéwš (for wáŋšakhéwškóh)              
               kica·k    ø-kaw=ya       waŋ-šak-pam-koh=ya       šak-hewš           
               whiskey   3STATS-die(sg)=and go.about-3PLOBJ-beat-DESID=and 3PLOBJ-curse
               ‘She got drunk and wanted to go about beating people and cursing them.’
               (1932:15:79-80)</t>
  </si>
  <si>
    <t xml:space="preserve">[Kaˊ-u oˊkin toˊkc ya imōˊculat]                                     
          471) káw ókkin tókšya himó·šulat                                          
               kaw       ok-kin    tokš=ya        himo·š-ul-at                      
               dead.person cloth-LOC wrap=and     bury-3PLS-PRET                    
               ‘They wrapped the dead person in cloth and buried him/her.’ (1932:18:126)</t>
  </si>
  <si>
    <t xml:space="preserve">[‘ntaˊn neˊc-paˊl idsonˊkin toˊ(h)i-a loˊx̥ kin tiˊu-sakioˊns icwāˊñĕhĕ]</t>
  </si>
  <si>
    <t xml:space="preserve">n̥tán nešpalhicónkin tóhiya lókkin tiwšakn̥óns išwáŋehe</t>
  </si>
  <si>
    <t xml:space="preserve">n̥tan nešpalhicon-kin tohi=ya lok-kin   tiw-šak-n̥onš</t>
  </si>
  <si>
    <t xml:space="preserve">be.or buggy-loc     get.in=and prairie-loc GO(PL)-3PLO-visit</t>
  </si>
  <si>
    <t xml:space="preserve">iš-waŋ-ehe</t>
  </si>
  <si>
    <t xml:space="preserve">1PLSTATS-go.about-DUB</t>
  </si>
  <si>
    <t xml:space="preserve">‘Or we might get in a buggy and go visit people on the prairie’ (1932:13:45-46)</t>
  </si>
  <si>
    <t xml:space="preserve">[‘ntaˊn neˊc-paˊl idsonˊkin toˊ(h)i-a loˊx̥ kin tiˊu-sakioˊns icwāˊñĕhĕ]
          472) n̥tán nešpalhicónkin tóhiya lókkin tiwšakn̥óns išwáŋehe              
               n̥tan nešpalhicon-kin tohi=ya lok-kin   tiw-šak-n̥onš                
               be.or buggy-loc     get.in=and prairie-loc GO(PL)-3PLO-visit         
               iš-waŋ-ehe                                                           
               1PLSTATS-go.about-DUB                                                
               ‘Or we might get in a buggy and go visit people on the prairie’ (1932:13:45-46)</t>
  </si>
  <si>
    <t xml:space="preserve">{kitsāk paihe-ushiámĕt}</t>
  </si>
  <si>
    <t xml:space="preserve">kicá·k payhewšhiámat</t>
  </si>
  <si>
    <t xml:space="preserve">kicá·k    pay-hewš-hi-am-at</t>
  </si>
  <si>
    <t xml:space="preserve">whiskey   return-be.much-1sstats-drink-pret</t>
  </si>
  <si>
    <t xml:space="preserve">‘I drank too much whiskey.’ (Gatschet, 1885b:94)</t>
  </si>
  <si>
    <t xml:space="preserve">{kitsāk paihe-ushiámĕt}                                              
          473) kicá·k payhewšhiámat                                                 
               kicá·k    pay-hewš-hi-am-at                                          
               whiskey   return-be.much-1sstats-drink-pret                          
               ‘I drank too much whiskey.’ (Gatschet, 1885b:94)</t>
  </si>
  <si>
    <t xml:space="preserve">šúl paknáwtíkya púhhatipácišat</t>
  </si>
  <si>
    <t xml:space="preserve">šul  paknaw-tik=ya  puh-hatipaciš-ø-at</t>
  </si>
  <si>
    <t xml:space="preserve">dog  run-go=and     jump(sg)-turn.somersault-3SS-PRET</t>
  </si>
  <si>
    <t xml:space="preserve">‘The dog went running and jumped, turning a somersault.’ (Gatschet, 1885b:94)</t>
  </si>
  <si>
    <t xml:space="preserve">474) šúl paknáwtíkya púhhatipácišat                                       
               šul  paknaw-tik=ya  puh-hatipaciš-ø-at                               
               dog  run-go=and     jump(sg)-turn.somersault-3SS-PRET                
               ‘The dog went running and jumped, turning a somersault.’ (Gatschet, 1885b:94)</t>
  </si>
  <si>
    <t xml:space="preserve">[Hiyeˊn teˊm nimaˊ-utsĕl yaˊ kuyak’hoˊ cakaˊtsel]</t>
  </si>
  <si>
    <t xml:space="preserve">hiyén tém nimácelya kuyyatkól šakkácel</t>
  </si>
  <si>
    <t xml:space="preserve">hiyen tem      nimá-cel=ya kuy-hat-kol       šak-ka-cel</t>
  </si>
  <si>
    <t xml:space="preserve">pig  yesterday kill-1pls=and intestine-REFLEX-stuff 3PLO-do-1PLS</t>
  </si>
  <si>
    <t xml:space="preserve">‘Yesterday we killed a pig and made sausages.’ (1932:14:66-67)</t>
  </si>
  <si>
    <t xml:space="preserve">[Hiyeˊn teˊm nimaˊ-utsĕl yaˊ kuyak’hoˊ cakaˊtsel]                    
          475) hiyén tém nimácelya kuyyatkól šakkácel                               
               hiyen tem      nimá-cel=ya kuy-hat-kol       šak-ka-cel              
               pig  yesterday kill-1pls=and intestine-REFLEX-stuff 3PLO-do-1PLS     
               ‘Yesterday we killed a pig and made sausages.’ (1932:14:66-67)</t>
  </si>
  <si>
    <t xml:space="preserve">[yukiˊt iyiˊ yaˊ puhitsēˊctsĕl]</t>
  </si>
  <si>
    <t xml:space="preserve">yukít iyíya puhicéšcel</t>
  </si>
  <si>
    <t xml:space="preserve">yukit iyi=ya   puh-iceš-cel</t>
  </si>
  <si>
    <t xml:space="preserve">we   get.up=AND jump-go.over-1PLS</t>
  </si>
  <si>
    <t xml:space="preserve">‘We get up and jump over it.’ (1932:107:2)</t>
  </si>
  <si>
    <t xml:space="preserve">[yukiˊt iyiˊ yaˊ puhitsēˊctsĕl]                                      
          476) yukít iyíya puhicéšcel                                               
               yukit iyi=ya   puh-iceš-cel                                          
               we   get.up=AND jump-go.over-1PLS                                    
               ‘We get up and jump over it.’ (1932:107:2)</t>
  </si>
  <si>
    <t xml:space="preserve">[uˊts (h)at’hoˊpco]</t>
  </si>
  <si>
    <t xml:space="preserve">úc hathópšo</t>
  </si>
  <si>
    <t xml:space="preserve">uc   hat-hopš-o</t>
  </si>
  <si>
    <t xml:space="preserve">nose REFLEX-pierce-1SS</t>
  </si>
  <si>
    <t xml:space="preserve">‘I am piercing my nose.’ (1932:139:2)</t>
  </si>
  <si>
    <t xml:space="preserve">[uˊts (h)at’hoˊpco]                                                  
          478) úc hathópšo                                                          
               uc   hat-hopš-o                                                      
               nose REFLEX-pierce-1SS                                               
               ‘I am piercing my nose.’ (1932:139:2)</t>
  </si>
  <si>
    <t xml:space="preserve">[uˊts hipoˊckit]</t>
  </si>
  <si>
    <t xml:space="preserve">úc hipóškkit</t>
  </si>
  <si>
    <t xml:space="preserve">uc   hi-pošk-kit</t>
  </si>
  <si>
    <t xml:space="preserve">nose 1SSTATS-bleed-PROG(SG)</t>
  </si>
  <si>
    <t xml:space="preserve">‘My nose is bleeding.’ (1932:139:2)</t>
  </si>
  <si>
    <t xml:space="preserve">[uˊts hipoˊckit]                                                     
          479) úc hipóškkit                                                         
               uc   hi-pošk-kit                                                     
               nose 1SSTATS-bleed-PROG(SG)                                          
               ‘My nose is bleeding.’ (1932:139:2)</t>
  </si>
  <si>
    <t xml:space="preserve">[tuˊts hatkoˊkico]</t>
  </si>
  <si>
    <t xml:space="preserve">túc hatkókišo</t>
  </si>
  <si>
    <t xml:space="preserve">tuc  hat-kokiš-o</t>
  </si>
  <si>
    <t xml:space="preserve">leg  REFLEX-bend-1SS</t>
  </si>
  <si>
    <t xml:space="preserve">‘I am bending my leg.’ (1932:69:2)</t>
  </si>
  <si>
    <t xml:space="preserve">[tuˊts hatkoˊkico]                                                   
          480) túc hatkókišo                                                        
               tuc  hat-kokiš-o                                                     
               leg  REFLEX-bend-1SS                                                 
               ‘I am bending my leg.’ (1932:69:2)</t>
  </si>
  <si>
    <t xml:space="preserve">[ēˊñ hiwaˊhulat]</t>
  </si>
  <si>
    <t xml:space="preserve">é·ŋ hiwáhu·lat</t>
  </si>
  <si>
    <t xml:space="preserve">e·ŋ  hi-wahu-ul-at</t>
  </si>
  <si>
    <t xml:space="preserve">name 1SO-call-3PLS-PRET</t>
  </si>
  <si>
    <t xml:space="preserve">‘They called my name.’ (1932:31:1)</t>
  </si>
  <si>
    <t xml:space="preserve">[ēˊñ hiwaˊhulat]                                                     
          481) é·ŋ hiwáhu·lat                                                       
               e·ŋ  hi-wahu-ul-at                                                   
               name 1SO-call-3PLS-PRET                                              
               ‘They called my name.’ (1932:31:1)</t>
  </si>
  <si>
    <t xml:space="preserve">‘They believed that other dead people came to see them,’ lit. ‘They believed it; other dead people came to see them.’ (1932:18:121-22)</t>
  </si>
  <si>
    <t xml:space="preserve">[Viˊvulat iˊcak capiˊx̥ k taneˊ-u okcak’hu-ulat]                     
          482) wíwulat išà·k šappíhk tannéw okšakhúulat                             
               wiw-ul-at      iša·k     šak-pihk  tan-hew                           
               believe-3PLS-PRET person PL-die(pl) other-PL                         
               ok-šak-hu-ul-at                                                      
               come-3PLO-see-3PLS-PRET                                              
               ‘They believed that other dead people came to see them,’ lit. ‘They believed it; other
               dead people came to see them.’ (1932:18:121-22)</t>
  </si>
  <si>
    <t xml:space="preserve">[ca cokeˊc tiˊxt wi hiˊnai]</t>
  </si>
  <si>
    <t xml:space="preserve">ša šoké·š tíht wí hinày</t>
  </si>
  <si>
    <t xml:space="preserve">ša        šoke·š    tiht      wi   hi-nay</t>
  </si>
  <si>
    <t xml:space="preserve">someone   sick      lie(sg)   I    1SSTATS-think</t>
  </si>
  <si>
    <t xml:space="preserve">‘I think that someone is lying sick,’ lit. ‘I think it; someone is lying sick.’ (1932:38:1)</t>
  </si>
  <si>
    <t xml:space="preserve">[ca cokeˊc tiˊxt wi hiˊnai]                                          
          483) ša šoké·š tíht wí hinày                                              
               ša        šoke·š    tiht      wi   hi-nay                            
               someone   sick      lie(sg)   I    1SSTATS-think                     
               ‘I think that someone is lying sick,’ lit. ‘I think it; someone is lying sick.’ (1932:38:1)</t>
  </si>
  <si>
    <t xml:space="preserve">‘My father does not want me to come, lit. my father does not want it that I come.’ (1932:43:1)</t>
  </si>
  <si>
    <t xml:space="preserve">[wi hitēt hioˊknă oˊñc]                                              
          484) wi ité·t hiókne óŋš                                                  
               wi   ite·t hi-ok-ne      ø-oŋš                                       
               my   father 1SSTATS-come-GER 3STATS-not.want                         
               ‘My father does not want me to come, lit. my father does not want it that I come.’
               (1932:43:1)</t>
  </si>
  <si>
    <t xml:space="preserve">‘I am to wait seven days for you to come, lit. I am to wait for you seven days that you come.’ (1932:12:42)</t>
  </si>
  <si>
    <t xml:space="preserve">[Yiˊl paˊxĕ ‘nyaˊ-uta ‘noˊkne]                                       
          485) yíl páhw n̥yáwta n̥ókne                                              
               yil  pahw      n̥-yaw-ta           n̥-ok-ne                          
               day  seven     2SOBJ-wait.for-PCPL 2SSTATS-come-GER                  
               ‘I am to wait seven days for you to come, lit. I am to wait for you seven days that you
               come.’ (1932:12:42)</t>
  </si>
  <si>
    <t xml:space="preserve">[nuˊnkin toˊhulat kakauˊ iyeˊtsnē ûˊt]</t>
  </si>
  <si>
    <t xml:space="preserve">núŋkin tóhulat kakáw iyécneot</t>
  </si>
  <si>
    <t xml:space="preserve">nuŋ-kin   toh-ul-at      kakaw     iyec-ne-ot</t>
  </si>
  <si>
    <t xml:space="preserve">village-LOC dwell-3PLS-PRET sun    rise-GER-DIR</t>
  </si>
  <si>
    <t xml:space="preserve">‘They lived in villages towards where the sun rises.’ (1932:10:31)</t>
  </si>
  <si>
    <t xml:space="preserve">[nuˊnkin toˊhulat kakauˊ iyeˊtsnē ûˊt]                               
          486) núŋkin tóhulat kakáw iyécneot                                        
               nuŋ-kin   toh-ul-at      kakaw     iyec-ne-ot                        
               village-LOC dwell-3PLS-PRET sun    rise-GER-DIR                      
               ‘They lived in villages towards where the sun rises.’ (1932:10:31)</t>
  </si>
  <si>
    <t xml:space="preserve">[Icāk tsanuˊki iˊñi caknaˊ-uc iyaˊnĕk mōn ‘nkaˊnē]</t>
  </si>
  <si>
    <t xml:space="preserve">icá·k canúkkin &lt;šak&gt;íŋi šaknáwš iyáŋik mò·n n̥ káne</t>
  </si>
  <si>
    <t xml:space="preserve">ica·k     canuk-kin &lt;šak&gt;-iŋi      šak-nawš-ø</t>
  </si>
  <si>
    <t xml:space="preserve">person    horse-LOC 3PLO-look.for  3PLO-let-2SIMP</t>
  </si>
  <si>
    <t xml:space="preserve">iyaŋ-ik        mò·n      n̥-ka-ne</t>
  </si>
  <si>
    <t xml:space="preserve">there-ERG.AGNT be.all    2SS-do-GER</t>
  </si>
  <si>
    <t xml:space="preserve">‘Let people on horses look &lt;for them&gt;! That there is all that you do.’ (1932:13:59-60)</t>
  </si>
  <si>
    <t xml:space="preserve">[Icāk tsanuˊki iˊñi caknaˊ-uc iyaˊnĕk mōn ‘nkaˊnē]                   
          487) icá·k canúkkin &lt;šak&gt;íŋi šaknáwš iyáŋik mò·n n̥ káne                  
               ica·k     canuk-kin &lt;šak&gt;-iŋi      šak-nawš-ø                        
               person    horse-LOC 3PLO-look.for  3PLO-let-2SIMP                    
               iyaŋ-ik        mò·n      n̥-ka-ne                                    
               there-ERG.AGNT be.all    2SS-do-GER                                  
               ‘Let people on horses look &lt;for them&gt;! That there is all that you do.’ (1932:13:59-60)</t>
  </si>
  <si>
    <t xml:space="preserve">n̥tól á</t>
  </si>
  <si>
    <t xml:space="preserve">n̥-tol         a</t>
  </si>
  <si>
    <t xml:space="preserve">2SSTATS-be.good Q</t>
  </si>
  <si>
    <t xml:space="preserve">‘Are you well?’ (1932:23:1)</t>
  </si>
  <si>
    <t xml:space="preserve">488) n̥tól á                                                              
               n̥-tol         a                                                     
               2SSTATS-be.good Q                                                    
               ‘Are you well?’ (1932:23:1)</t>
  </si>
  <si>
    <t xml:space="preserve">n̥-hi-hu-hahš       a</t>
  </si>
  <si>
    <t xml:space="preserve">‘Do you not see me?’ (1932:34:1)</t>
  </si>
  <si>
    <t xml:space="preserve">[‘n hihu haˊxc aˊ]                                                   
          489) n̥hihúháhš á                                                         
               n̥-hi-hu-hahš       a                                                
               2SSTATS-1SO-see-NEG Q                                                
               ‘Do you not see me?’ (1932:34:1)</t>
  </si>
  <si>
    <t xml:space="preserve">[‘nhiiˊnat hatnaˊxka paˊ-ihiticnăna]</t>
  </si>
  <si>
    <t xml:space="preserve">n̥hiínat hatnáhka payhitìšnen á</t>
  </si>
  <si>
    <t xml:space="preserve">n̥-hi-in-at         hatnah-ka      pay-hi-tiš-ne-n</t>
  </si>
  <si>
    <t xml:space="preserve">a</t>
  </si>
  <si>
    <t xml:space="preserve">2SSTATS-1SO-ask-PRET so.much-ADV   BACK-1SSTATS-go(sg)-GER-Q</t>
  </si>
  <si>
    <t xml:space="preserve">Q</t>
  </si>
  <si>
    <t xml:space="preserve">‘You asked for me; how am I to go back?’ (1932:37:1)</t>
  </si>
  <si>
    <t xml:space="preserve">[‘nhiiˊnat hatnaˊxka paˊ-ihiticnăna]                                 
          490) n̥hiínat hatnáhka payhitìšnen á                                      
               n̥-hi-in-at         hatnah-ka      pay-hi-tiš-ne-n                   
               a                                                                    
               2SSTATS-1SO-ask-PRET so.much-ADV   BACK-1SSTATS-go(sg)-GER-Q         
               Q                                                                    
               ‘You asked for me; how am I to go back?’ (1932:37:1)</t>
  </si>
  <si>
    <t xml:space="preserve">[caˊ aˊ nāˊc]</t>
  </si>
  <si>
    <t xml:space="preserve">šá á ná·š</t>
  </si>
  <si>
    <t xml:space="preserve">ša        a    na-iš</t>
  </si>
  <si>
    <t xml:space="preserve">someone   Q    you-FOC</t>
  </si>
  <si>
    <t xml:space="preserve">‘Who are you?’ (1932:108:1)</t>
  </si>
  <si>
    <t xml:space="preserve">[caˊ aˊ nāˊc]                                                        
          492) šá á ná·š                                                            
               ša        a    na-iš                                                 
               someone   Q    you-FOC                                               
               ‘Who are you?’ (1932:108:1)</t>
  </si>
  <si>
    <t xml:space="preserve">[cok ‘nkaˊ a]</t>
  </si>
  <si>
    <t xml:space="preserve">šók n̥ká á</t>
  </si>
  <si>
    <t xml:space="preserve">šok       n̥-ka     a</t>
  </si>
  <si>
    <t xml:space="preserve">something 2SSTATS-do Q</t>
  </si>
  <si>
    <t xml:space="preserve">‘What are you doing?’ (1932:56:1)</t>
  </si>
  <si>
    <t xml:space="preserve">[cok ‘nkaˊ a]                                                        
          493) šók n̥ká á                                                           
               šok       n̥-ka     a                                                
               something 2SSTATS-do Q                                               
               ‘What are you doing?’ (1932:56:1)</t>
  </si>
  <si>
    <t xml:space="preserve">{shók na komhópshkin nkéa}</t>
  </si>
  <si>
    <t xml:space="preserve">šók na komhópškin n̥ké á</t>
  </si>
  <si>
    <t xml:space="preserve">šok       na   komhopš-kin n̥-ke        a</t>
  </si>
  <si>
    <t xml:space="preserve">something your pocket-LOC 2SSTATS-have  Q</t>
  </si>
  <si>
    <t xml:space="preserve">‘What do you have in your pocket?’ (Gatschet 1885b:79)</t>
  </si>
  <si>
    <t xml:space="preserve">{shók na komhópshkin nkéa}                                           
          494) šók na komhópškin n̥ké á                                             
               šok       na   komhopš-kin n̥-ke        a                            
               something your pocket-LOC 2SSTATS-have  Q                            
               ‘What do you have in your pocket?’ (Gatschet 1885b:79)</t>
  </si>
  <si>
    <t xml:space="preserve">[hakiˊt cineˊv aˊ]</t>
  </si>
  <si>
    <t xml:space="preserve">hakít šinnéw á</t>
  </si>
  <si>
    <t xml:space="preserve">hakit     šin-hew   a</t>
  </si>
  <si>
    <t xml:space="preserve">they      who-PL    Q</t>
  </si>
  <si>
    <t xml:space="preserve">‘Who are they?’ (1932:23:1)</t>
  </si>
  <si>
    <t xml:space="preserve">[hakiˊt cineˊv aˊ]                                                   
          495) hakít šinnéw á                                                       
               hakit     šin-hew   a                                                
               they      who-PL    Q                                                
               ‘Who are they?’ (1932:23:1)</t>
  </si>
  <si>
    <t xml:space="preserve">šinnéw yá šokšakyíkš</t>
  </si>
  <si>
    <t xml:space="preserve">šin-hew   ya   šok-šak-yikš</t>
  </si>
  <si>
    <t xml:space="preserve">who-PL    that STH-3PLO-sell</t>
  </si>
  <si>
    <t xml:space="preserve">‘Who are those merchants?’ (1932:155:2)</t>
  </si>
  <si>
    <t xml:space="preserve">496) šinnéw yá šokšakyíkš                                                 
               šin-hew   ya   šok-šak-yikš                                          
               who-PL    that STH-3PLO-sell                                         
               ‘Who are those merchants?’ (1932:155:2)</t>
  </si>
  <si>
    <t xml:space="preserve">[it’haˊñ ike ok’n]</t>
  </si>
  <si>
    <t xml:space="preserve">itáŋike ókn̥</t>
  </si>
  <si>
    <t xml:space="preserve">itaŋ-ike  ok-ø-n̥</t>
  </si>
  <si>
    <t xml:space="preserve">place-EL  come-3SS-Q</t>
  </si>
  <si>
    <t xml:space="preserve">‘Where does he come from?’ (1932:53:2)</t>
  </si>
  <si>
    <t xml:space="preserve">[it’haˊñ ike ok’n]                                                   
          497) itáŋike ókn̥                                                         
               itaŋ-ike  ok-ø-n̥                                                    
               place-EL  come-3SS-Q                                                 
               ‘Where does he come from?’ (1932:53:2)</t>
  </si>
  <si>
    <t xml:space="preserve">[cul itaˊñ aˊ]</t>
  </si>
  <si>
    <t xml:space="preserve">šúl itáŋ á</t>
  </si>
  <si>
    <t xml:space="preserve">šul  itaŋ a</t>
  </si>
  <si>
    <t xml:space="preserve">dog  place Q</t>
  </si>
  <si>
    <t xml:space="preserve">‘Where is the dog?’ (1932:53:2)</t>
  </si>
  <si>
    <t xml:space="preserve">[cul itaˊñ aˊ]                                                       
          498) šúl itáŋ á                                                           
               šul  itaŋ a                                                          
               dog  place Q                                                         
               ‘Where is the dog?’ (1932:53:2)</t>
  </si>
  <si>
    <t xml:space="preserve">{ná ná-u itháng ná-i? áng katmókin náyu}</t>
  </si>
  <si>
    <t xml:space="preserve">na náw itáŋ náy? áŋkatmókkin náyo</t>
  </si>
  <si>
    <t xml:space="preserve">na   naw  itaŋ nay? aŋkat-mok-kin  nay-o</t>
  </si>
  <si>
    <t xml:space="preserve">you  shoe place put door-short-LOC put-1SS</t>
  </si>
  <si>
    <t xml:space="preserve">‘Where did you put the shoes? I put them in the window.’ (Gatschet, 1885c:86)</t>
  </si>
  <si>
    <t xml:space="preserve">{ná ná-u itháng ná-i? áng katmókin náyu}                             
          499) na náw itáŋ náy? áŋkatmókkin náyo                                    
               na   naw  itaŋ nay? aŋkat-mok-kin  nay-o                             
               you  shoe place put door-short-LOC put-1SS                           
               ‘Where did you put the shoes? I put them in the window.’ (Gatschet, 1885c:86)</t>
  </si>
  <si>
    <t xml:space="preserve">[naˊ noˊmc ma]</t>
  </si>
  <si>
    <t xml:space="preserve">na nómš má</t>
  </si>
  <si>
    <t xml:space="preserve">na   nomš ma</t>
  </si>
  <si>
    <t xml:space="preserve">your child where.is</t>
  </si>
  <si>
    <t xml:space="preserve">‘Where is your child?’ (1932:83:1)</t>
  </si>
  <si>
    <t xml:space="preserve">[naˊ noˊmc ma]                                                       
          501) na nómš má                                                           
               na   nomš ma                                                         
               your child where.is                                                  
               ‘Where is your child?’ (1932:83:1)</t>
  </si>
  <si>
    <t xml:space="preserve">[laklaˊx̥ c hatnaˊ nkeˊa]</t>
  </si>
  <si>
    <t xml:space="preserve">laklákš hatnáh n̥ké á</t>
  </si>
  <si>
    <t xml:space="preserve">laklakš   hatnah    n̥-ke          a</t>
  </si>
  <si>
    <t xml:space="preserve">money     so.much   2SSTATS-have   Q</t>
  </si>
  <si>
    <t xml:space="preserve">‘How much money do you have?’ (1932:37:1)</t>
  </si>
  <si>
    <t xml:space="preserve">[laklaˊx̥ c hatnaˊ nkeˊa]                                            
          502) laklákš hatnáh n̥ké á                                                
               laklakš   hatnah    n̥-ke          a                                 
               money     so.much   2SSTATS-have   Q                                 
               ‘How much money do you have?’ (1932:37:1)</t>
  </si>
  <si>
    <t xml:space="preserve">[hatnaˊ hiyiˊkicta]</t>
  </si>
  <si>
    <t xml:space="preserve">hatnáh hiyikištá</t>
  </si>
  <si>
    <t xml:space="preserve">hatnah    hi-yikiš-ta</t>
  </si>
  <si>
    <t xml:space="preserve">so.much   1SO-pay-PCPL</t>
  </si>
  <si>
    <t xml:space="preserve">‘How much am I to be paid?’ (1932:37:1)</t>
  </si>
  <si>
    <t xml:space="preserve">[hatnaˊ hiyiˊkicta]                                                  
          503) hatnáh hiyikištá                                                     
               hatnah    hi-yikiš-ta                                                
               so.much   1SO-pay-PCPL                                               
               ‘How much am I to be paid?’ (1932:37:1)</t>
  </si>
  <si>
    <t xml:space="preserve">[hatnaˊka peˊl a]</t>
  </si>
  <si>
    <t xml:space="preserve">hatnáhka pél á</t>
  </si>
  <si>
    <t xml:space="preserve">hatnah-ka      ø-pel          a</t>
  </si>
  <si>
    <t xml:space="preserve">so.much-ADV    3STATS-be.far  Q</t>
  </si>
  <si>
    <t xml:space="preserve">‘How far is it?’ (1932:37:1)</t>
  </si>
  <si>
    <t xml:space="preserve">[hatnaˊka peˊl a]                                                    
          504) hatnáhka pél á                                                       
               hatnah-ka      ø-pel          a                                      
               so.much-ADV    3STATS-be.far  Q                                      
               ‘How far is it?’ (1932:37:1)</t>
  </si>
  <si>
    <t xml:space="preserve">[hatnaˊx̥ kan mēˊts a]</t>
  </si>
  <si>
    <t xml:space="preserve">hatnáhka n̥méc á</t>
  </si>
  <si>
    <t xml:space="preserve">hatnah-ka      n̥-mec         a</t>
  </si>
  <si>
    <t xml:space="preserve">so.much-ADV    2STATS-be.tall Q</t>
  </si>
  <si>
    <t xml:space="preserve">‘How tall are you?’ (1932:37:1)</t>
  </si>
  <si>
    <t xml:space="preserve">[hatnaˊx̥ kan mēˊts a]                                               
          505) hatnáhka n̥méc á                                                     
               hatnah-ka      n̥-mec         a                                      
               so.much-ADV    2STATS-be.tall Q                                      
               ‘How tall are you?’ (1932:37:1)</t>
  </si>
  <si>
    <t xml:space="preserve">[coˊkaya]</t>
  </si>
  <si>
    <t xml:space="preserve">šókay á</t>
  </si>
  <si>
    <t xml:space="preserve">šokay a</t>
  </si>
  <si>
    <t xml:space="preserve">why  Q</t>
  </si>
  <si>
    <t xml:space="preserve">‘Why?’ (1932:113:2)</t>
  </si>
  <si>
    <t xml:space="preserve">[coˊkaya]                                                            
          506) šókay á                                                              
               šokay a                                                              
               why  Q                                                               
               ‘Why?’ (1932:113:2)</t>
  </si>
  <si>
    <t xml:space="preserve">[coˊka-i ‘n-oˊt haˊxcnan]</t>
  </si>
  <si>
    <t xml:space="preserve">šókay n̥ókháhšnen</t>
  </si>
  <si>
    <t xml:space="preserve">šokay n̥-ok-hahš-ne-n</t>
  </si>
  <si>
    <t xml:space="preserve">why  2SSTATS-come-NEG-GER-Q</t>
  </si>
  <si>
    <t xml:space="preserve">‘Why do you not come?’ (1932:113:2)</t>
  </si>
  <si>
    <t xml:space="preserve">[coˊka-i ‘n-oˊt haˊxcnan]                                            
          507) šókay n̥ókháhšnen                                                    
               šokay n̥-ok-hahš-ne-n                                                
               why  2SSTATS-come-NEG-GER-Q                                          
               ‘Why do you not come?’ (1932:113:2)</t>
  </si>
  <si>
    <t xml:space="preserve">[kitsāk kaˊ-u yaˊ waˊñ-cakpaˊmkoh yaˊ cak’heˊ-uc]</t>
  </si>
  <si>
    <t xml:space="preserve">kicá·k káwya wáŋšakpámkóhya šakhéwš</t>
  </si>
  <si>
    <t xml:space="preserve">kica·k    ø-kaw=ya            waŋ-šak-ø-pam-koh=ya</t>
  </si>
  <si>
    <t xml:space="preserve">whiskey   3SSTATS-die(sg)=and go.about-3PLOBJ-3STATS-beat-DESID=and</t>
  </si>
  <si>
    <t xml:space="preserve">šak-hewš</t>
  </si>
  <si>
    <t xml:space="preserve">3PLOBJ-curse</t>
  </si>
  <si>
    <t xml:space="preserve">[kitsāk kaˊ-u yaˊ waˊñ-cakpaˊmkoh yaˊ cak’heˊ-uc]                    
          508) kicá·k káwya wáŋšakpámkóhya šakhéwš                                  
               kica·k    ø-kaw=ya            waŋ-šak-ø-pam-koh=ya                   
               whiskey   3SSTATS-die(sg)=and go.about-3PLOBJ-3STATS-beat-DESID=and  
               šak-hewš                                                             
               3PLOBJ-curse                                                         
               ‘She got drunk and wanted to go about beating people and cursing them.’
               (1932:15:79-80)</t>
  </si>
  <si>
    <t xml:space="preserve">kicá·k šappíhkya pámhokpámišulat</t>
  </si>
  <si>
    <t xml:space="preserve">kica·k    šak-pihk-ya         pam,hok,pam-iš-ul-at</t>
  </si>
  <si>
    <t xml:space="preserve">whiskey   3PLSTATS-die(pl)-and REDUP,RECIP,beat-CAUS-3PLS-PRET</t>
  </si>
  <si>
    <t xml:space="preserve">[Kitsāˊk cakpiˊx̥ k yaˊ paˊm (h)okpaˊmiculat]                        
          509) kicá·k šappíhkya pámhokpámišulat                                     
               kica·k    šak-pihk-ya         pam,hok,pam-iš-ul-at                   
               whiskey   3PLSTATS-die(pl)-and REDUP,RECIP,beat-CAUS-3PLS-PRET       
               ‘They were drunk and they really beat each other up.’ (1932:20:145)</t>
  </si>
  <si>
    <t xml:space="preserve">[kaukaˊ-u hikaˊ-u haˊ]</t>
  </si>
  <si>
    <t xml:space="preserve">kawkáw hikáwháh</t>
  </si>
  <si>
    <t xml:space="preserve">kawkaw    hi-kaw-háh</t>
  </si>
  <si>
    <t xml:space="preserve">water     1SSTATS-die(sg)-NEG</t>
  </si>
  <si>
    <t xml:space="preserve">‘I am not thirsty.’ (1932:60:2)</t>
  </si>
  <si>
    <t xml:space="preserve">[kaukaˊ-u hikaˊ-u haˊ]                                               
          511) kawkáw hikáwháh                                                      
               kawkaw    hi-kaw-háh                                                 
               water     1SSTATS-die(sg)-NEG                                        
               ‘I am not thirsty.’ (1932:60:2)</t>
  </si>
  <si>
    <t xml:space="preserve">[kaukau na piˊx̥ ka]</t>
  </si>
  <si>
    <t xml:space="preserve">kawkáw nappíhk á</t>
  </si>
  <si>
    <t xml:space="preserve">kawkaw    nak-pihk       a</t>
  </si>
  <si>
    <t xml:space="preserve">water     2PLSSTATS-die(pl) Q</t>
  </si>
  <si>
    <t xml:space="preserve">‘Are you all thirsty?’ (1932:82:2)</t>
  </si>
  <si>
    <t xml:space="preserve">[kaukau na piˊx̥ ka]                                                 
          512) kawkáw nappíhk á                                                     
               kawkaw    nak-pihk       a                                           
               water     2PLSSTATS-die(pl) Q                                        
               ‘Are you all thirsty?’ (1932:82:2)</t>
  </si>
  <si>
    <t xml:space="preserve">[ōlhikaˊ-u haˊ]</t>
  </si>
  <si>
    <t xml:space="preserve">ó·l hikáwháh</t>
  </si>
  <si>
    <t xml:space="preserve">o·l  hi-kaw-hah</t>
  </si>
  <si>
    <t xml:space="preserve">hunger    1SSTATS-die(sg)-NEG</t>
  </si>
  <si>
    <t xml:space="preserve">‘I am not hungry.’ (1932:60:2)</t>
  </si>
  <si>
    <t xml:space="preserve">[ōlhikaˊ-u haˊ]                                                      
          513) ó·l hikáwháh                                                         
               o·l  hi-kaw-hah                                                      
               hunger    1SSTATS-die(sg)-NEG                                        
               ‘I am not hungry.’ (1932:60:2)</t>
  </si>
  <si>
    <t xml:space="preserve">[loˊñloñc anˊ koˊñět]</t>
  </si>
  <si>
    <t xml:space="preserve">lóŋloŋš áŋ kóŋat</t>
  </si>
  <si>
    <t xml:space="preserve">loŋloŋš   aŋ   koŋ-ø-at</t>
  </si>
  <si>
    <t xml:space="preserve">thunder   house strike-3SS-PRET</t>
  </si>
  <si>
    <t xml:space="preserve">‘Lightning struck the house,’ lit. ‘Thunder seized the house.’ (1932:77:2)</t>
  </si>
  <si>
    <t xml:space="preserve">[loˊñloñc anˊ koˊñět]                                                
          515) lóŋloŋš áŋ kóŋat                                                     
               loŋloŋš   aŋ   koŋ-ø-at                                              
               thunder   house strike-3SS-PRET                                      
               ‘Lightning struck the house,’ lit. ‘Thunder seized the house.’ (1932:77:2)</t>
  </si>
  <si>
    <t xml:space="preserve">[tiuxts waˊnkit]</t>
  </si>
  <si>
    <t xml:space="preserve">tíwhc wáŋkit</t>
  </si>
  <si>
    <t xml:space="preserve">tiwhc ø-waŋ-kit</t>
  </si>
  <si>
    <t xml:space="preserve">gently 3STATS-go.about-prog(sg)</t>
  </si>
  <si>
    <t xml:space="preserve">‘He is behaving.’ (1932:142:1)</t>
  </si>
  <si>
    <t xml:space="preserve">[tiuxts waˊnkit]                                                     
          516) tíwhc wáŋkit                                                         
               tiwhc ø-waŋ-kit                                                      
               gently 3STATS-go.about-prog(sg)                                      
               ‘He is behaving.’ (1932:142:1)</t>
  </si>
  <si>
    <t xml:space="preserve">[tiˊuxts kēt iaˊ-uc]</t>
  </si>
  <si>
    <t xml:space="preserve">tíwhc ké·t hiáwš</t>
  </si>
  <si>
    <t xml:space="preserve">tiwhc     ke·t hi-awš</t>
  </si>
  <si>
    <t xml:space="preserve">gently    sit  1SSTATS-be.unable</t>
  </si>
  <si>
    <t xml:space="preserve">‘I am restless.’ (1932:34:2)</t>
  </si>
  <si>
    <t xml:space="preserve">[tiˊuxts kēt iaˊ-uc]                                                 
          517) tíwhc ké·t hiáwš                                                     
               tiwhc     ke·t hi-awš                                                
               gently    sit  1SSTATS-be.unable                                     
               ‘I am restless.’ (1932:34:2)</t>
  </si>
  <si>
    <t xml:space="preserve">[toˊlka at’huˊ]</t>
  </si>
  <si>
    <t xml:space="preserve">tólka hathú</t>
  </si>
  <si>
    <t xml:space="preserve">tolka hat-hu-ø</t>
  </si>
  <si>
    <t xml:space="preserve">well REFLEX-see-2SIMP</t>
  </si>
  <si>
    <t xml:space="preserve">‘Be careful!’ (1932:135:1)</t>
  </si>
  <si>
    <t xml:space="preserve">[toˊlka at’huˊ]                                                      
          519) tólka hathú                                                          
               tolka hat-hu-ø                                                       
               well REFLEX-see-2SIMP                                                
               ‘Be careful!’ (1932:135:1)</t>
  </si>
  <si>
    <t xml:space="preserve">[toˊlka hat’huˊ waˊñ]</t>
  </si>
  <si>
    <t xml:space="preserve">tólka hathúwáŋ</t>
  </si>
  <si>
    <t xml:space="preserve">tolka hat-hu-waŋ</t>
  </si>
  <si>
    <t xml:space="preserve">well REFLEX-see-go.about</t>
  </si>
  <si>
    <t xml:space="preserve">‘He takes care of himself.’ (1932:135:1)</t>
  </si>
  <si>
    <t xml:space="preserve">[toˊlka hat’huˊ waˊñ]                                                
          520) tólka hathúwáŋ                                                       
               tolka hat-hu-waŋ                                                     
               well REFLEX-see-go.about                                             
               ‘He takes care of himself.’ (1932:135:1)</t>
  </si>
  <si>
    <t xml:space="preserve">[cok’hēˊc oktanuˊk cokaˊat]</t>
  </si>
  <si>
    <t xml:space="preserve">šoké·š hoktanúk šakkáat</t>
  </si>
  <si>
    <t xml:space="preserve">šoke·š    hoktanuk  šak-ka-ø-at</t>
  </si>
  <si>
    <t xml:space="preserve">illness   different 3PLO-do-3S-pret</t>
  </si>
  <si>
    <t xml:space="preserve">‘They had different illnesses, lit. Different illnesses did them.’ (1932:15:91-92)</t>
  </si>
  <si>
    <t xml:space="preserve">[cok’hēˊc oktanuˊk cokaˊat]                                          
          521) šoké·š hoktanúk šakkáat                                              
               šoke·š    hoktanuk  šak-ka-ø-at                                      
               illness   different 3PLO-do-3S-pret                                  
               ‘They had different illnesses, lit. Different illnesses did them.’ (1932:15:91-92)</t>
  </si>
  <si>
    <t xml:space="preserve">ha hiláy šoké·šya káwhánat koyíw hiwéw kéat</t>
  </si>
  <si>
    <t xml:space="preserve">ha   hilay šoke·š=ya ø-kaw-han-at       koyíw hiwéw</t>
  </si>
  <si>
    <t xml:space="preserve">his  wife be.sick=and 3STATS-die(sg)-ALMOST cold strong</t>
  </si>
  <si>
    <t xml:space="preserve">ø-ke-at</t>
  </si>
  <si>
    <t xml:space="preserve">3STATS-have-PRET</t>
  </si>
  <si>
    <t xml:space="preserve">‘His wife was sick and almost died. A strong cold had her.’ (1932:13:54-55)</t>
  </si>
  <si>
    <t xml:space="preserve">522) ha hiláy šoké·šya káwhánat koyíw hiwéw kéat                          
               ha   hilay šoke·š=ya ø-kaw-han-at       koyíw hiwéw                  
               his  wife be.sick=and 3STATS-die(sg)-ALMOST cold strong              
               ø-ke-at                                                              
               3STATS-have-PRET                                                     
               ‘His wife was sick and almost died. A strong cold had her.’ (1932:13:54-55)</t>
  </si>
  <si>
    <t xml:space="preserve">[Taneˊ-u tuˊlkin paˊk-cakpaˊkicat. Taneˊ-u kaukauˊkin puˊm-hik’huˊlculat]</t>
  </si>
  <si>
    <t xml:space="preserve">tannéw túlkin pákšakpákišat; tannéw kawkáwkin púmhikihólšulat</t>
  </si>
  <si>
    <t xml:space="preserve">tan-hew   tul-kin   pak,šak,pak-iš-at        tan-hew</t>
  </si>
  <si>
    <t xml:space="preserve">some-PL   lake-loc  REDUP,3PLOBJ,throw.in-CAUS-PRET some-PL</t>
  </si>
  <si>
    <t xml:space="preserve">kawkaw-kin pum-hik-holš-ul-at</t>
  </si>
  <si>
    <t xml:space="preserve">water-LOC jump-LOC-put.in-3PLS-PRET</t>
  </si>
  <si>
    <t xml:space="preserve">‘Some of them they threw again and again into the lake; others went and jumped into the water.’ (1932:20:146-47)</t>
  </si>
  <si>
    <t xml:space="preserve">[Taneˊ-u tuˊlkin paˊk-cakpaˊkicat. Taneˊ-u kaukauˊkin puˊm-hik’huˊlculat]
          523) tannéw túlkin pákšakpákišat; tannéw kawkáwkin púmhikihólšulat        
               tan-hew   tul-kin   pak,šak,pak-iš-at        tan-hew                 
               some-PL   lake-loc  REDUP,3PLOBJ,throw.in-CAUS-PRET some-PL          
               kawkaw-kin pum-hik-holš-ul-at                                        
               water-LOC jump-LOC-put.in-3PLS-PRET                                  
               ‘Some of them they threw again and again into the lake; others went and jumped
               into the water.’ (1932:20:146-47)</t>
  </si>
  <si>
    <t xml:space="preserve">{okotká-ush íshak’hé-u shakshopātshimíshinto}</t>
  </si>
  <si>
    <t xml:space="preserve">okotkáwš išà·khéw šakšokpáchimíšn̥to</t>
  </si>
  <si>
    <t xml:space="preserve">okotkawš  iša·k-hew šak-šok-pac-hi-miš-n̥t-o·</t>
  </si>
  <si>
    <t xml:space="preserve">shirt     person-PL 3PLO-STH-wash-1SSTATS-give-CONTIN-PHR.TERM</t>
  </si>
  <si>
    <t xml:space="preserve">‘I am going to wash shirts for people.’ (Gatschet 1885b, 62)</t>
  </si>
  <si>
    <t xml:space="preserve">{okotká-ush íshak’hé-u shakshopātshimíshinto}                        
          524) okotkáwš išà·khéw šakšokpáchimíšn̥to                                 
               okotkawš  iša·k-hew šak-šok-pac-hi-miš-n̥t-o·                        
               shirt     person-PL 3PLO-STH-wash-1SSTATS-give-CONTIN-PHR.TERM       
               ‘I am going to wash shirts for people.’ (Gatschet 1885b, 62)</t>
  </si>
  <si>
    <t xml:space="preserve">[iˊti iluˊ]</t>
  </si>
  <si>
    <t xml:space="preserve">íti ilú</t>
  </si>
  <si>
    <t xml:space="preserve">íti       ilu</t>
  </si>
  <si>
    <t xml:space="preserve">in.front  year</t>
  </si>
  <si>
    <t xml:space="preserve">‘last year’ (1932:52:2)</t>
  </si>
  <si>
    <t xml:space="preserve">[iˊti iluˊ]                                                          
          525) íti ilú                                                              
               íti       ilu                                                        
               in.front  year                                                       
               ‘last year’ (1932:52:2)</t>
  </si>
  <si>
    <t xml:space="preserve">[haˊl itiyiˊlc]</t>
  </si>
  <si>
    <t xml:space="preserve">hál itiyílš</t>
  </si>
  <si>
    <t xml:space="preserve">hal       itiyílš</t>
  </si>
  <si>
    <t xml:space="preserve">in.back   month</t>
  </si>
  <si>
    <t xml:space="preserve">‘next month’ (1932:155:2)</t>
  </si>
  <si>
    <t xml:space="preserve">[haˊl itiyiˊlc]                                                      
          526) hál itiyílš                                                          
               hal       itiyílš                                                    
               in.back   month                                                      
               ‘next month’ (1932:155:2)</t>
  </si>
  <si>
    <t xml:space="preserve">{ishát tól kē}</t>
  </si>
  <si>
    <t xml:space="preserve">icáˑt tól ké</t>
  </si>
  <si>
    <t xml:space="preserve">icáˑt tól ø-ké</t>
  </si>
  <si>
    <t xml:space="preserve">head good 3sstats-have</t>
  </si>
  <si>
    <t xml:space="preserve">‘He is intelligent.’ French: (Gatschet 1885b:57)</t>
  </si>
  <si>
    <t xml:space="preserve">{ishát tól kē}                                                       
          527) icáˑt tól ké                                                         
               icáˑt tól ø-ké                                                       
               head good 3sstats-have                                               
               ‘He is intelligent.’ French: (Gatschet 1885b:57)</t>
  </si>
  <si>
    <t xml:space="preserve">áŋlá·k páłiya n̥táhulat</t>
  </si>
  <si>
    <t xml:space="preserve">áŋlá·k páłi=ya n̥táh-ul-at</t>
  </si>
  <si>
    <t xml:space="preserve">jail break=and escape-3PLS-PRET</t>
  </si>
  <si>
    <t xml:space="preserve">‘They broke out of jail and escaped.’ (Gatschet, 1885b:105)</t>
  </si>
  <si>
    <t xml:space="preserve">528) áŋlá·k páłiya n̥táhulat                                              
               áŋlá·k páłi=ya n̥táh-ul-at                                           
               jail break=and escape-3PLS-PRET                                      
               ‘They broke out of jail and escaped.’ (Gatschet, 1885b:105)</t>
  </si>
  <si>
    <t xml:space="preserve">[wi cocoˊlc hinteˊhi hăˊnulet]</t>
  </si>
  <si>
    <t xml:space="preserve">wi šošólšhin̥téhihánulat</t>
  </si>
  <si>
    <t xml:space="preserve">wi   šošolš-hi-n̥tehi-han-ul-at</t>
  </si>
  <si>
    <t xml:space="preserve">I    scare(sg)-1SOBJ-frighten-ALMOST-3PLS-PRET</t>
  </si>
  <si>
    <t xml:space="preserve">‘They scared and almost frightened me.’ (1932:93:2)</t>
  </si>
  <si>
    <t xml:space="preserve">[wi cocoˊlc hinteˊhi hăˊnulet]                                       
          532) wi šošólšhin̥téhihánulat                                             
               wi   šošolš-hi-n̥tehi-han-ul-at                                      
               I    scare(sg)-1SOBJ-frighten-ALMOST-3PLS-PRET                       
               ‘They scared and almost frightened me.’ (1932:93:2)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</si>
</sst>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takapa_Parsed_Corpus" displayName="Atakapa_Parsed_Corpus" ref="A1:K421" headerRowCount="1" totalsRowCount="0" totalsRowShown="0">
  <autoFilter ref="A1:K421"/>
  <tableColumns count="11">
    <tableColumn id="1" name="Example_Number"/>
    <tableColumn id="2" name="Gatschet&amp;Swanton"/>
    <tableColumn id="3" name="Modern_Ortho"/>
    <tableColumn id="4" name="Gloss.1"/>
    <tableColumn id="5" name="Gloss.2"/>
    <tableColumn id="6" name="Gloss.3"/>
    <tableColumn id="7" name="Gloss.4"/>
    <tableColumn id="8" name="Gloss.5"/>
    <tableColumn id="9" name="Gloss.6"/>
    <tableColumn id="10" name="Translation"/>
    <tableColumn id="11" name="Raw_Block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6" colorId="64" zoomScale="120" zoomScaleNormal="120" zoomScalePageLayoutView="100" workbookViewId="0">
      <selection pane="topLeft" activeCell="B23" activeCellId="0" sqref="B23"/>
    </sheetView>
  </sheetViews>
  <sheetFormatPr defaultColWidth="8.734375" defaultRowHeight="15" zeroHeight="false" outlineLevelRow="0" outlineLevelCol="0"/>
  <cols>
    <col collapsed="false" customWidth="true" hidden="false" outlineLevel="0" max="1" min="1" style="0" width="19.28"/>
    <col collapsed="false" customWidth="true" hidden="false" outlineLevel="0" max="2" min="2" style="0" width="76"/>
    <col collapsed="false" customWidth="true" hidden="false" outlineLevel="0" max="3" min="3" style="0" width="63.71"/>
    <col collapsed="false" customWidth="true" hidden="false" outlineLevel="0" max="4" min="4" style="0" width="52.01"/>
    <col collapsed="false" customWidth="true" hidden="false" outlineLevel="0" max="5" min="5" style="0" width="71.29"/>
    <col collapsed="false" customWidth="true" hidden="false" outlineLevel="0" max="6" min="6" style="0" width="61.57"/>
    <col collapsed="false" customWidth="true" hidden="false" outlineLevel="0" max="7" min="7" style="0" width="60"/>
    <col collapsed="false" customWidth="true" hidden="false" outlineLevel="0" max="8" min="8" style="0" width="69.72"/>
    <col collapsed="false" customWidth="true" hidden="false" outlineLevel="0" max="10" min="9" style="0" width="78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8.65" hidden="false" customHeight="true" outlineLevel="0" collapsed="false">
      <c r="A2" s="0" t="n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2" t="s">
        <v>15</v>
      </c>
      <c r="G2" s="0" t="s">
        <v>16</v>
      </c>
      <c r="H2" s="0" t="str">
        <f aca="false">_xlfn.CONCAT(Atakapa_Parsed_Corpus[[#This Row],[Gloss.1]],"    ",Atakapa_Parsed_Corpus[[#This Row],[Gloss.3]])</f>
        <v>iša·k     táyš      ok=ya     yukit né· mo·n    yál-péh-i-ul-at</v>
      </c>
      <c r="I2" s="0" t="str">
        <f aca="false">_xlfn.CONCAT(Atakapa_Parsed_Corpus[[#This Row],[Gloss.2]],"    ",Atakapa_Parsed_Corpus[[#This Row],[Gloss.4]])</f>
        <v>person    strange   come=and  our  land all    take-finish-CAUS-3PLS-PRET</v>
      </c>
      <c r="J2" s="0" t="s">
        <v>17</v>
      </c>
      <c r="K2" s="3" t="s">
        <v>18</v>
      </c>
    </row>
    <row r="3" customFormat="false" ht="16.75" hidden="false" customHeight="true" outlineLevel="0" collapsed="false">
      <c r="A3" s="0" t="n">
        <v>2</v>
      </c>
      <c r="B3" s="0" t="s">
        <v>19</v>
      </c>
      <c r="C3" s="2" t="s">
        <v>20</v>
      </c>
      <c r="D3" s="0" t="s">
        <v>21</v>
      </c>
      <c r="E3" s="0" t="s">
        <v>22</v>
      </c>
      <c r="H3" s="0" t="str">
        <f aca="false">_xlfn.CONCAT(Atakapa_Parsed_Corpus[[#This Row],[Gloss.1]],"    ",Atakapa_Parsed_Corpus[[#This Row],[Gloss.3]])</f>
        <v>Ø-ùš-tikit    </v>
      </c>
      <c r="I3" s="0" t="str">
        <f aca="false">_xlfn.CONCAT(Atakapa_Parsed_Corpus[[#This Row],[Gloss.2]],"    ",Atakapa_Parsed_Corpus[[#This Row],[Gloss.4]])</f>
        <v>3STATS-be.so-FUT    </v>
      </c>
      <c r="J3" s="0" t="s">
        <v>23</v>
      </c>
      <c r="K3" s="3" t="s">
        <v>24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s">
        <v>26</v>
      </c>
      <c r="D4" s="0" t="s">
        <v>27</v>
      </c>
      <c r="E4" s="0" t="s">
        <v>28</v>
      </c>
      <c r="H4" s="0" t="str">
        <f aca="false">_xlfn.CONCAT(Atakapa_Parsed_Corpus[[#This Row],[Gloss.1]],"    ",Atakapa_Parsed_Corpus[[#This Row],[Gloss.3]])</f>
        <v>hiku wi   nuk  tik-hi-ka-koh    </v>
      </c>
      <c r="I4" s="0" t="str">
        <f aca="false">_xlfn.CONCAT(Atakapa_Parsed_Corpus[[#This Row],[Gloss.2]],"    ",Atakapa_Parsed_Corpus[[#This Row],[Gloss.4]])</f>
        <v>soup I    self go.and-1SSTATS-make-DESID    </v>
      </c>
      <c r="J4" s="0" t="s">
        <v>29</v>
      </c>
      <c r="K4" s="3" t="s">
        <v>30</v>
      </c>
    </row>
    <row r="5" customFormat="false" ht="15" hidden="false" customHeight="false" outlineLevel="0" collapsed="false">
      <c r="A5" s="0" t="n">
        <v>4</v>
      </c>
      <c r="B5" s="0" t="s">
        <v>31</v>
      </c>
      <c r="C5" s="0" t="s">
        <v>32</v>
      </c>
      <c r="D5" s="0" t="s">
        <v>33</v>
      </c>
      <c r="E5" s="0" t="s">
        <v>34</v>
      </c>
      <c r="H5" s="0" t="str">
        <f aca="false">_xlfn.CONCAT(Atakapa_Parsed_Corpus[[#This Row],[Gloss.1]],"    ",Atakapa_Parsed_Corpus[[#This Row],[Gloss.3]])</f>
        <v>na-iš     n̥-šokòy    </v>
      </c>
      <c r="I5" s="0" t="str">
        <f aca="false">_xlfn.CONCAT(Atakapa_Parsed_Corpus[[#This Row],[Gloss.2]],"    ",Atakapa_Parsed_Corpus[[#This Row],[Gloss.4]])</f>
        <v>you(sg)-FOC 2STATS-be.chief    </v>
      </c>
      <c r="J5" s="0" t="s">
        <v>35</v>
      </c>
      <c r="K5" s="3" t="s">
        <v>36</v>
      </c>
    </row>
    <row r="6" customFormat="false" ht="15" hidden="false" customHeight="false" outlineLevel="0" collapsed="false">
      <c r="A6" s="0" t="n">
        <v>5</v>
      </c>
      <c r="C6" s="0" t="s">
        <v>37</v>
      </c>
      <c r="D6" s="0" t="s">
        <v>38</v>
      </c>
      <c r="E6" s="0" t="s">
        <v>39</v>
      </c>
      <c r="H6" s="0" t="str">
        <f aca="false">_xlfn.CONCAT(Atakapa_Parsed_Corpus[[#This Row],[Gloss.1]],"    ",Atakapa_Parsed_Corpus[[#This Row],[Gloss.3]])</f>
        <v>ha-iš     ø-šokòy    </v>
      </c>
      <c r="I6" s="0" t="str">
        <f aca="false">_xlfn.CONCAT(Atakapa_Parsed_Corpus[[#This Row],[Gloss.2]],"    ",Atakapa_Parsed_Corpus[[#This Row],[Gloss.4]])</f>
        <v>he-foc    3STATS-be.chief    </v>
      </c>
      <c r="J6" s="0" t="s">
        <v>40</v>
      </c>
      <c r="K6" s="3" t="s">
        <v>41</v>
      </c>
    </row>
    <row r="7" customFormat="false" ht="15" hidden="false" customHeight="false" outlineLevel="0" collapsed="false">
      <c r="A7" s="0" t="n">
        <v>6</v>
      </c>
      <c r="B7" s="0" t="s">
        <v>42</v>
      </c>
      <c r="C7" s="0" t="s">
        <v>43</v>
      </c>
      <c r="D7" s="0" t="s">
        <v>44</v>
      </c>
      <c r="E7" s="0" t="s">
        <v>45</v>
      </c>
      <c r="H7" s="0" t="str">
        <f aca="false">_xlfn.CONCAT(Atakapa_Parsed_Corpus[[#This Row],[Gloss.1]],"    ",Atakapa_Parsed_Corpus[[#This Row],[Gloss.3]])</f>
        <v>hiki-ike  ø-išà·k    </v>
      </c>
      <c r="I7" s="0" t="str">
        <f aca="false">_xlfn.CONCAT(Atakapa_Parsed_Corpus[[#This Row],[Gloss.2]],"    ",Atakapa_Parsed_Corpus[[#This Row],[Gloss.4]])</f>
        <v>west-EL   3STATS-be.person    </v>
      </c>
      <c r="J7" s="0" t="s">
        <v>46</v>
      </c>
      <c r="K7" s="3" t="s">
        <v>47</v>
      </c>
    </row>
    <row r="8" customFormat="false" ht="15" hidden="false" customHeight="false" outlineLevel="0" collapsed="false">
      <c r="A8" s="0" t="n">
        <v>7</v>
      </c>
      <c r="B8" s="0" t="s">
        <v>48</v>
      </c>
      <c r="C8" s="0" t="s">
        <v>49</v>
      </c>
      <c r="D8" s="0" t="s">
        <v>50</v>
      </c>
      <c r="E8" s="0" t="s">
        <v>51</v>
      </c>
      <c r="H8" s="0" t="str">
        <f aca="false">_xlfn.CONCAT(Atakapa_Parsed_Corpus[[#This Row],[Gloss.1]],"    ",Atakapa_Parsed_Corpus[[#This Row],[Gloss.3]])</f>
        <v>takapa    ø-kìš          yukhiti   nuŋ-kin   ke·t-n̥ ta-t    </v>
      </c>
      <c r="I8" s="0" t="str">
        <f aca="false">_xlfn.CONCAT(Atakapa_Parsed_Corpus[[#This Row],[Gloss.2]],"    ",Atakapa_Parsed_Corpus[[#This Row],[Gloss.4]])</f>
        <v>Atakapa   3STATS-be.woman Indian   village-LOC dwell-CONTIN-PRET    </v>
      </c>
      <c r="J8" s="0" t="s">
        <v>52</v>
      </c>
      <c r="K8" s="3" t="s">
        <v>53</v>
      </c>
    </row>
    <row r="9" customFormat="false" ht="15" hidden="false" customHeight="false" outlineLevel="0" collapsed="false">
      <c r="A9" s="0" t="n">
        <v>8</v>
      </c>
      <c r="B9" s="0" t="s">
        <v>54</v>
      </c>
      <c r="C9" s="0" t="s">
        <v>55</v>
      </c>
      <c r="D9" s="0" t="s">
        <v>56</v>
      </c>
      <c r="E9" s="0" t="s">
        <v>57</v>
      </c>
      <c r="H9" s="0" t="str">
        <f aca="false">_xlfn.CONCAT(Atakapa_Parsed_Corpus[[#This Row],[Gloss.1]],"    ",Atakapa_Parsed_Corpus[[#This Row],[Gloss.3]])</f>
        <v>wíw-ul-at    </v>
      </c>
      <c r="I9" s="0" t="str">
        <f aca="false">_xlfn.CONCAT(Atakapa_Parsed_Corpus[[#This Row],[Gloss.2]],"    ",Atakapa_Parsed_Corpus[[#This Row],[Gloss.4]])</f>
        <v>believe-3PLS-PRET    </v>
      </c>
      <c r="J9" s="0" t="s">
        <v>58</v>
      </c>
      <c r="K9" s="3" t="s">
        <v>59</v>
      </c>
    </row>
    <row r="10" customFormat="false" ht="15" hidden="false" customHeight="false" outlineLevel="0" collapsed="false">
      <c r="A10" s="0" t="n">
        <v>9</v>
      </c>
      <c r="B10" s="0" t="s">
        <v>60</v>
      </c>
      <c r="C10" s="0" t="s">
        <v>61</v>
      </c>
      <c r="D10" s="0" t="s">
        <v>62</v>
      </c>
      <c r="E10" s="0" t="s">
        <v>63</v>
      </c>
      <c r="H10" s="0" t="str">
        <f aca="false">_xlfn.CONCAT(Atakapa_Parsed_Corpus[[#This Row],[Gloss.1]],"    ",Atakapa_Parsed_Corpus[[#This Row],[Gloss.3]])</f>
        <v>hok-inác-ul-at    </v>
      </c>
      <c r="I10" s="0" t="str">
        <f aca="false">_xlfn.CONCAT(Atakapa_Parsed_Corpus[[#This Row],[Gloss.2]],"    ",Atakapa_Parsed_Corpus[[#This Row],[Gloss.4]])</f>
        <v>RECIP-fight-3PLS-PRET    </v>
      </c>
      <c r="J10" s="0" t="s">
        <v>64</v>
      </c>
      <c r="K10" s="3" t="s">
        <v>65</v>
      </c>
    </row>
    <row r="11" customFormat="false" ht="15" hidden="false" customHeight="false" outlineLevel="0" collapsed="false">
      <c r="A11" s="0" t="n">
        <v>10</v>
      </c>
      <c r="B11" s="0" t="s">
        <v>66</v>
      </c>
      <c r="C11" s="0" t="s">
        <v>67</v>
      </c>
      <c r="D11" s="0" t="s">
        <v>68</v>
      </c>
      <c r="E11" s="0" t="s">
        <v>69</v>
      </c>
      <c r="H11" s="0" t="str">
        <f aca="false">_xlfn.CONCAT(Atakapa_Parsed_Corpus[[#This Row],[Gloss.1]],"    ",Atakapa_Parsed_Corpus[[#This Row],[Gloss.3]])</f>
        <v>láw-i-ul-at    </v>
      </c>
      <c r="I11" s="0" t="str">
        <f aca="false">_xlfn.CONCAT(Atakapa_Parsed_Corpus[[#This Row],[Gloss.2]],"    ",Atakapa_Parsed_Corpus[[#This Row],[Gloss.4]])</f>
        <v>burn-CAUS-3PLS-PRET    </v>
      </c>
      <c r="J11" s="0" t="s">
        <v>70</v>
      </c>
      <c r="K11" s="3" t="s">
        <v>71</v>
      </c>
    </row>
    <row r="12" customFormat="false" ht="15" hidden="false" customHeight="false" outlineLevel="0" collapsed="false">
      <c r="A12" s="0" t="n">
        <v>11</v>
      </c>
      <c r="B12" s="0" t="s">
        <v>72</v>
      </c>
      <c r="C12" s="0" t="s">
        <v>73</v>
      </c>
      <c r="D12" s="0" t="s">
        <v>74</v>
      </c>
      <c r="E12" s="0" t="s">
        <v>75</v>
      </c>
      <c r="H12" s="0" t="str">
        <f aca="false">_xlfn.CONCAT(Atakapa_Parsed_Corpus[[#This Row],[Gloss.1]],"    ",Atakapa_Parsed_Corpus[[#This Row],[Gloss.3]])</f>
        <v>winé-ul-at    </v>
      </c>
      <c r="I12" s="0" t="str">
        <f aca="false">_xlfn.CONCAT(Atakapa_Parsed_Corpus[[#This Row],[Gloss.2]],"    ",Atakapa_Parsed_Corpus[[#This Row],[Gloss.4]])</f>
        <v>find-3PLS-PRET    </v>
      </c>
      <c r="J12" s="0" t="s">
        <v>76</v>
      </c>
      <c r="K12" s="3" t="s">
        <v>77</v>
      </c>
    </row>
    <row r="13" customFormat="false" ht="15" hidden="false" customHeight="false" outlineLevel="0" collapsed="false">
      <c r="A13" s="0" t="n">
        <v>12</v>
      </c>
      <c r="C13" s="0" t="s">
        <v>78</v>
      </c>
      <c r="D13" s="0" t="s">
        <v>79</v>
      </c>
      <c r="E13" s="0" t="s">
        <v>80</v>
      </c>
      <c r="H13" s="0" t="str">
        <f aca="false">_xlfn.CONCAT(Atakapa_Parsed_Corpus[[#This Row],[Gloss.1]],"    ",Atakapa_Parsed_Corpus[[#This Row],[Gloss.3]])</f>
        <v>ø-ó-tikit    </v>
      </c>
      <c r="I13" s="0" t="str">
        <f aca="false">_xlfn.CONCAT(Atakapa_Parsed_Corpus[[#This Row],[Gloss.2]],"    ",Atakapa_Parsed_Corpus[[#This Row],[Gloss.4]])</f>
        <v>3STATS-be.located.there-FUT    </v>
      </c>
      <c r="J13" s="0" t="s">
        <v>81</v>
      </c>
      <c r="K13" s="3" t="s">
        <v>82</v>
      </c>
    </row>
    <row r="14" customFormat="false" ht="15" hidden="false" customHeight="false" outlineLevel="0" collapsed="false">
      <c r="A14" s="0" t="n">
        <v>13</v>
      </c>
      <c r="B14" s="0" t="s">
        <v>83</v>
      </c>
      <c r="C14" s="0" t="s">
        <v>84</v>
      </c>
      <c r="D14" s="0" t="s">
        <v>85</v>
      </c>
      <c r="E14" s="0" t="s">
        <v>86</v>
      </c>
      <c r="H14" s="0" t="str">
        <f aca="false">_xlfn.CONCAT(Atakapa_Parsed_Corpus[[#This Row],[Gloss.1]],"    ",Atakapa_Parsed_Corpus[[#This Row],[Gloss.3]])</f>
        <v>iš-yá·mš-ehe    </v>
      </c>
      <c r="I14" s="0" t="str">
        <f aca="false">_xlfn.CONCAT(Atakapa_Parsed_Corpus[[#This Row],[Gloss.2]],"    ",Atakapa_Parsed_Corpus[[#This Row],[Gloss.4]])</f>
        <v>1PLSTATS-gather-DUB    </v>
      </c>
      <c r="J14" s="0" t="s">
        <v>87</v>
      </c>
      <c r="K14" s="3" t="s">
        <v>88</v>
      </c>
    </row>
    <row r="15" customFormat="false" ht="15" hidden="false" customHeight="false" outlineLevel="0" collapsed="false">
      <c r="A15" s="0" t="n">
        <v>16</v>
      </c>
      <c r="C15" s="0" t="s">
        <v>89</v>
      </c>
      <c r="D15" s="0" t="s">
        <v>90</v>
      </c>
      <c r="E15" s="0" t="s">
        <v>91</v>
      </c>
      <c r="H15" s="0" t="str">
        <f aca="false">_xlfn.CONCAT(Atakapa_Parsed_Corpus[[#This Row],[Gloss.1]],"    ",Atakapa_Parsed_Corpus[[#This Row],[Gloss.3]])</f>
        <v>iš-pác-háh-at    </v>
      </c>
      <c r="I15" s="0" t="str">
        <f aca="false">_xlfn.CONCAT(Atakapa_Parsed_Corpus[[#This Row],[Gloss.2]],"    ",Atakapa_Parsed_Corpus[[#This Row],[Gloss.4]])</f>
        <v>1PLO-beat-NEG-PRET    </v>
      </c>
      <c r="J15" s="0" t="s">
        <v>92</v>
      </c>
      <c r="K15" s="3" t="s">
        <v>93</v>
      </c>
    </row>
    <row r="16" customFormat="false" ht="15" hidden="false" customHeight="false" outlineLevel="0" collapsed="false">
      <c r="A16" s="0" t="n">
        <v>17</v>
      </c>
      <c r="B16" s="0" t="s">
        <v>94</v>
      </c>
      <c r="C16" s="0" t="s">
        <v>95</v>
      </c>
      <c r="D16" s="0" t="s">
        <v>96</v>
      </c>
      <c r="E16" s="0" t="s">
        <v>97</v>
      </c>
      <c r="H16" s="0" t="str">
        <f aca="false">_xlfn.CONCAT(Atakapa_Parsed_Corpus[[#This Row],[Gloss.1]],"    ",Atakapa_Parsed_Corpus[[#This Row],[Gloss.3]])</f>
        <v>ø-káw-hán-at    </v>
      </c>
      <c r="I16" s="0" t="str">
        <f aca="false">_xlfn.CONCAT(Atakapa_Parsed_Corpus[[#This Row],[Gloss.2]],"    ",Atakapa_Parsed_Corpus[[#This Row],[Gloss.4]])</f>
        <v>3STATS-die(sg)-ALMOST-PRET    </v>
      </c>
      <c r="J16" s="0" t="s">
        <v>98</v>
      </c>
      <c r="K16" s="3" t="s">
        <v>99</v>
      </c>
    </row>
    <row r="17" customFormat="false" ht="15" hidden="false" customHeight="false" outlineLevel="0" collapsed="false">
      <c r="A17" s="0" t="n">
        <v>18</v>
      </c>
      <c r="B17" s="0" t="s">
        <v>100</v>
      </c>
      <c r="C17" s="0" t="s">
        <v>101</v>
      </c>
      <c r="D17" s="0" t="s">
        <v>102</v>
      </c>
      <c r="E17" s="0" t="s">
        <v>103</v>
      </c>
      <c r="H17" s="0" t="str">
        <f aca="false">_xlfn.CONCAT(Atakapa_Parsed_Corpus[[#This Row],[Gloss.1]],"    ",Atakapa_Parsed_Corpus[[#This Row],[Gloss.3]])</f>
        <v>šoká·k-háŋš-ti-n    </v>
      </c>
      <c r="I17" s="0" t="str">
        <f aca="false">_xlfn.CONCAT(Atakapa_Parsed_Corpus[[#This Row],[Gloss.2]],"    ",Atakapa_Parsed_Corpus[[#This Row],[Gloss.4]])</f>
        <v>ceremonial.dance-FINISH-PST.PROG-WHEN    </v>
      </c>
      <c r="J17" s="0" t="s">
        <v>104</v>
      </c>
      <c r="K17" s="3" t="s">
        <v>105</v>
      </c>
    </row>
    <row r="18" customFormat="false" ht="15" hidden="false" customHeight="false" outlineLevel="0" collapsed="false">
      <c r="A18" s="0" t="n">
        <v>19</v>
      </c>
      <c r="B18" s="3" t="s">
        <v>106</v>
      </c>
      <c r="C18" s="0" t="s">
        <v>107</v>
      </c>
      <c r="D18" s="0" t="s">
        <v>108</v>
      </c>
      <c r="E18" s="0" t="s">
        <v>109</v>
      </c>
      <c r="H18" s="0" t="str">
        <f aca="false">_xlfn.CONCAT(Atakapa_Parsed_Corpus[[#This Row],[Gloss.1]],"    ",Atakapa_Parsed_Corpus[[#This Row],[Gloss.3]])</f>
        <v>takapa    iša·k     hat-wiw-at    </v>
      </c>
      <c r="I18" s="0" t="str">
        <f aca="false">_xlfn.CONCAT(Atakapa_Parsed_Corpus[[#This Row],[Gloss.2]],"    ",Atakapa_Parsed_Corpus[[#This Row],[Gloss.4]])</f>
        <v>Atakapa   people    REFLEX-believe-PRET    </v>
      </c>
      <c r="J18" s="0" t="s">
        <v>110</v>
      </c>
      <c r="K18" s="3" t="s">
        <v>111</v>
      </c>
    </row>
    <row r="19" customFormat="false" ht="15" hidden="false" customHeight="false" outlineLevel="0" collapsed="false">
      <c r="A19" s="0" t="n">
        <v>20</v>
      </c>
      <c r="B19" s="3" t="s">
        <v>112</v>
      </c>
      <c r="C19" s="0" t="s">
        <v>113</v>
      </c>
      <c r="D19" s="0" t="s">
        <v>114</v>
      </c>
      <c r="E19" s="0" t="s">
        <v>115</v>
      </c>
      <c r="H19" s="0" t="str">
        <f aca="false">_xlfn.CONCAT(Atakapa_Parsed_Corpus[[#This Row],[Gloss.1]],"    ",Atakapa_Parsed_Corpus[[#This Row],[Gloss.3]])</f>
        <v>tul  tay-ot    ø-iye-kaš    </v>
      </c>
      <c r="I19" s="0" t="str">
        <f aca="false">_xlfn.CONCAT(Atakapa_Parsed_Corpus[[#This Row],[Gloss.2]],"    ",Atakapa_Parsed_Corpus[[#This Row],[Gloss.4]])</f>
        <v>lake river-DIR 3STATS-be.more-be.deep    </v>
      </c>
      <c r="J19" s="0" t="s">
        <v>116</v>
      </c>
      <c r="K19" s="3" t="s">
        <v>117</v>
      </c>
    </row>
    <row r="20" customFormat="false" ht="15" hidden="false" customHeight="false" outlineLevel="0" collapsed="false">
      <c r="A20" s="0" t="n">
        <v>21</v>
      </c>
      <c r="B20" s="3" t="s">
        <v>118</v>
      </c>
      <c r="C20" s="0" t="s">
        <v>119</v>
      </c>
      <c r="D20" s="0" t="s">
        <v>120</v>
      </c>
      <c r="E20" s="0" t="s">
        <v>121</v>
      </c>
      <c r="H20" s="0" t="str">
        <f aca="false">_xlfn.CONCAT(Atakapa_Parsed_Corpus[[#This Row],[Gloss.1]],"    ",Atakapa_Parsed_Corpus[[#This Row],[Gloss.3]])</f>
        <v>šokšakyikš=ya  šokwak=n  a·l  payok=ya    </v>
      </c>
      <c r="I20" s="0" t="str">
        <f aca="false">_xlfn.CONCAT(Atakapa_Parsed_Corpus[[#This Row],[Gloss.2]],"    ",Atakapa_Parsed_Corpus[[#This Row],[Gloss.4]])</f>
        <v>sell=and       bread=and meat bring.back=and    </v>
      </c>
      <c r="J20" s="0" t="s">
        <v>122</v>
      </c>
      <c r="K20" s="3" t="s">
        <v>123</v>
      </c>
    </row>
    <row r="21" customFormat="false" ht="15" hidden="false" customHeight="false" outlineLevel="0" collapsed="false">
      <c r="A21" s="0" t="n">
        <v>24</v>
      </c>
      <c r="B21" s="0" t="s">
        <v>124</v>
      </c>
      <c r="C21" s="0" t="s">
        <v>125</v>
      </c>
      <c r="D21" s="0" t="s">
        <v>126</v>
      </c>
      <c r="E21" s="0" t="s">
        <v>127</v>
      </c>
      <c r="H21" s="0" t="str">
        <f aca="false">_xlfn.CONCAT(Atakapa_Parsed_Corpus[[#This Row],[Gloss.1]],"    ",Atakapa_Parsed_Corpus[[#This Row],[Gloss.3]])</f>
        <v>taw-šok-ø-koy-kit    </v>
      </c>
      <c r="I21" s="0" t="str">
        <f aca="false">_xlfn.CONCAT(Atakapa_Parsed_Corpus[[#This Row],[Gloss.2]],"    ",Atakapa_Parsed_Corpus[[#This Row],[Gloss.4]])</f>
        <v>STAND-STH-3STATS-say-PROG    </v>
      </c>
      <c r="J21" s="0" t="s">
        <v>128</v>
      </c>
      <c r="K21" s="3" t="s">
        <v>129</v>
      </c>
    </row>
    <row r="22" customFormat="false" ht="15" hidden="false" customHeight="false" outlineLevel="0" collapsed="false">
      <c r="A22" s="0" t="n">
        <v>25</v>
      </c>
      <c r="B22" s="0" t="s">
        <v>130</v>
      </c>
      <c r="C22" s="0" t="s">
        <v>131</v>
      </c>
      <c r="D22" s="0" t="s">
        <v>132</v>
      </c>
      <c r="E22" s="0" t="s">
        <v>133</v>
      </c>
      <c r="H22" s="0" t="str">
        <f aca="false">_xlfn.CONCAT(Atakapa_Parsed_Corpus[[#This Row],[Gloss.1]],"    ",Atakapa_Parsed_Corpus[[#This Row],[Gloss.3]])</f>
        <v>aŋicon    itolš-o   n̥-ke·t-ne          yukit aŋ-kin    </v>
      </c>
      <c r="I22" s="0" t="str">
        <f aca="false">_xlfn.CONCAT(Atakapa_Parsed_Corpus[[#This Row],[Gloss.2]],"    ",Atakapa_Parsed_Corpus[[#This Row],[Gloss.4]])</f>
        <v>room      prepare-1SS 2SSTATS-stay-GER  our  house-LOC    </v>
      </c>
      <c r="J22" s="0" t="s">
        <v>134</v>
      </c>
      <c r="K22" s="3" t="s">
        <v>135</v>
      </c>
    </row>
    <row r="23" customFormat="false" ht="15" hidden="false" customHeight="false" outlineLevel="0" collapsed="false">
      <c r="A23" s="0" t="n">
        <v>26</v>
      </c>
      <c r="B23" s="0" t="s">
        <v>136</v>
      </c>
      <c r="C23" s="0" t="s">
        <v>137</v>
      </c>
      <c r="D23" s="0" t="s">
        <v>138</v>
      </c>
      <c r="E23" s="0" t="s">
        <v>139</v>
      </c>
      <c r="H23" s="0" t="str">
        <f aca="false">_xlfn.CONCAT(Atakapa_Parsed_Corpus[[#This Row],[Gloss.1]],"    ",Atakapa_Parsed_Corpus[[#This Row],[Gloss.3]])</f>
        <v>na        tem       am-ø    </v>
      </c>
      <c r="I23" s="0" t="str">
        <f aca="false">_xlfn.CONCAT(Atakapa_Parsed_Corpus[[#This Row],[Gloss.2]],"    ",Atakapa_Parsed_Corpus[[#This Row],[Gloss.4]])</f>
        <v>you(sg)   yesterday drink-2/3SS    </v>
      </c>
      <c r="J23" s="0" t="s">
        <v>140</v>
      </c>
      <c r="K23" s="3" t="s">
        <v>141</v>
      </c>
    </row>
    <row r="24" customFormat="false" ht="15" hidden="false" customHeight="false" outlineLevel="0" collapsed="false">
      <c r="A24" s="0" t="n">
        <v>27</v>
      </c>
      <c r="B24" s="0" t="s">
        <v>142</v>
      </c>
      <c r="C24" s="0" t="s">
        <v>143</v>
      </c>
      <c r="D24" s="0" t="s">
        <v>144</v>
      </c>
      <c r="E24" s="0" t="s">
        <v>145</v>
      </c>
      <c r="H24" s="0" t="str">
        <f aca="false">_xlfn.CONCAT(Atakapa_Parsed_Corpus[[#This Row],[Gloss.1]],"    ",Atakapa_Parsed_Corpus[[#This Row],[Gloss.3]])</f>
        <v>ha   yáh-ø    </v>
      </c>
      <c r="I24" s="0" t="str">
        <f aca="false">_xlfn.CONCAT(Atakapa_Parsed_Corpus[[#This Row],[Gloss.2]],"    ",Atakapa_Parsed_Corpus[[#This Row],[Gloss.4]])</f>
        <v>s/he eat-2/3SS    </v>
      </c>
      <c r="J24" s="0" t="s">
        <v>146</v>
      </c>
      <c r="K24" s="3" t="s">
        <v>147</v>
      </c>
    </row>
    <row r="25" customFormat="false" ht="15" hidden="false" customHeight="false" outlineLevel="0" collapsed="false">
      <c r="A25" s="0" t="n">
        <v>29</v>
      </c>
      <c r="B25" s="0" t="s">
        <v>148</v>
      </c>
      <c r="C25" s="0" t="s">
        <v>149</v>
      </c>
      <c r="D25" s="0" t="s">
        <v>150</v>
      </c>
      <c r="E25" s="0" t="s">
        <v>151</v>
      </c>
      <c r="H25" s="0" t="str">
        <f aca="false">_xlfn.CONCAT(Atakapa_Parsed_Corpus[[#This Row],[Gloss.1]],"    ",Atakapa_Parsed_Corpus[[#This Row],[Gloss.3]])</f>
        <v>nakit     ok-tem    make-ne    </v>
      </c>
      <c r="I25" s="0" t="str">
        <f aca="false">_xlfn.CONCAT(Atakapa_Parsed_Corpus[[#This Row],[Gloss.2]],"    ",Atakapa_Parsed_Corpus[[#This Row],[Gloss.4]])</f>
        <v>you(pl)   come-2PLS trade-GER    </v>
      </c>
      <c r="J25" s="0" t="s">
        <v>152</v>
      </c>
      <c r="K25" s="3" t="s">
        <v>153</v>
      </c>
    </row>
    <row r="26" customFormat="false" ht="15" hidden="false" customHeight="false" outlineLevel="0" collapsed="false">
      <c r="A26" s="0" t="n">
        <v>30</v>
      </c>
      <c r="B26" s="0" t="s">
        <v>154</v>
      </c>
      <c r="C26" s="0" t="s">
        <v>155</v>
      </c>
      <c r="D26" s="0" t="s">
        <v>156</v>
      </c>
      <c r="E26" s="0" t="s">
        <v>157</v>
      </c>
      <c r="H26" s="0" t="str">
        <f aca="false">_xlfn.CONCAT(Atakapa_Parsed_Corpus[[#This Row],[Gloss.1]],"    ",Atakapa_Parsed_Corpus[[#This Row],[Gloss.3]])</f>
        <v>iša·k-hew kiwilš    ipšok-ul    </v>
      </c>
      <c r="I26" s="0" t="str">
        <f aca="false">_xlfn.CONCAT(Atakapa_Parsed_Corpus[[#This Row],[Gloss.2]],"    ",Atakapa_Parsed_Corpus[[#This Row],[Gloss.4]])</f>
        <v>person-PL white.person be.doctor-3PLS    </v>
      </c>
      <c r="J26" s="0" t="s">
        <v>158</v>
      </c>
      <c r="K26" s="3" t="s">
        <v>159</v>
      </c>
    </row>
    <row r="27" customFormat="false" ht="15" hidden="false" customHeight="false" outlineLevel="0" collapsed="false">
      <c r="A27" s="0" t="n">
        <v>32</v>
      </c>
      <c r="B27" s="0" t="s">
        <v>160</v>
      </c>
      <c r="C27" s="0" t="s">
        <v>161</v>
      </c>
      <c r="D27" s="0" t="s">
        <v>162</v>
      </c>
      <c r="E27" s="0" t="s">
        <v>163</v>
      </c>
      <c r="H27" s="0" t="str">
        <f aca="false">_xlfn.CONCAT(Atakapa_Parsed_Corpus[[#This Row],[Gloss.1]],"    ",Atakapa_Parsed_Corpus[[#This Row],[Gloss.3]])</f>
        <v>šak-wanc-n̥    </v>
      </c>
      <c r="I27" s="0" t="str">
        <f aca="false">_xlfn.CONCAT(Atakapa_Parsed_Corpus[[#This Row],[Gloss.2]],"    ",Atakapa_Parsed_Corpus[[#This Row],[Gloss.4]])</f>
        <v>3PLO-say-2SIMP    </v>
      </c>
      <c r="J27" s="0" t="s">
        <v>164</v>
      </c>
      <c r="K27" s="3" t="s">
        <v>165</v>
      </c>
    </row>
    <row r="28" customFormat="false" ht="15" hidden="false" customHeight="false" outlineLevel="0" collapsed="false">
      <c r="A28" s="0" t="n">
        <v>33</v>
      </c>
      <c r="B28" s="0" t="s">
        <v>166</v>
      </c>
      <c r="C28" s="0" t="s">
        <v>167</v>
      </c>
      <c r="D28" s="0" t="s">
        <v>168</v>
      </c>
      <c r="E28" s="0" t="s">
        <v>169</v>
      </c>
      <c r="H28" s="0" t="str">
        <f aca="false">_xlfn.CONCAT(Atakapa_Parsed_Corpus[[#This Row],[Gloss.1]],"    ",Atakapa_Parsed_Corpus[[#This Row],[Gloss.3]])</f>
        <v>mo·n hok-tiwe·-pum-lo    </v>
      </c>
      <c r="I28" s="0" t="str">
        <f aca="false">_xlfn.CONCAT(Atakapa_Parsed_Corpus[[#This Row],[Gloss.2]],"    ",Atakapa_Parsed_Corpus[[#This Row],[Gloss.4]])</f>
        <v>all  RECIP-be.together-dance-1PLIMP    </v>
      </c>
      <c r="J28" s="0" t="s">
        <v>170</v>
      </c>
      <c r="K28" s="3" t="s">
        <v>171</v>
      </c>
    </row>
    <row r="29" customFormat="false" ht="15" hidden="false" customHeight="false" outlineLevel="0" collapsed="false">
      <c r="A29" s="0" t="n">
        <v>34</v>
      </c>
      <c r="B29" s="0" t="s">
        <v>172</v>
      </c>
      <c r="C29" s="0" t="s">
        <v>173</v>
      </c>
      <c r="D29" s="0" t="s">
        <v>174</v>
      </c>
      <c r="E29" s="0" t="s">
        <v>175</v>
      </c>
      <c r="H29" s="0" t="str">
        <f aca="false">_xlfn.CONCAT(Atakapa_Parsed_Corpus[[#This Row],[Gloss.1]],"    ",Atakapa_Parsed_Corpus[[#This Row],[Gloss.3]])</f>
        <v>yukit tiw-oy-lo    </v>
      </c>
      <c r="I29" s="0" t="str">
        <f aca="false">_xlfn.CONCAT(Atakapa_Parsed_Corpus[[#This Row],[Gloss.2]],"    ",Atakapa_Parsed_Corpus[[#This Row],[Gloss.4]])</f>
        <v>we   GO(PL)-sleep-1PLIMP    </v>
      </c>
      <c r="J29" s="0" t="s">
        <v>176</v>
      </c>
      <c r="K29" s="3" t="s">
        <v>177</v>
      </c>
    </row>
    <row r="30" customFormat="false" ht="15" hidden="false" customHeight="false" outlineLevel="0" collapsed="false">
      <c r="A30" s="0" t="n">
        <v>35</v>
      </c>
      <c r="B30" s="0" t="s">
        <v>178</v>
      </c>
      <c r="C30" s="0" t="s">
        <v>179</v>
      </c>
      <c r="D30" s="0" t="s">
        <v>180</v>
      </c>
      <c r="E30" s="0" t="s">
        <v>181</v>
      </c>
      <c r="H30" s="0" t="str">
        <f aca="false">_xlfn.CONCAT(Atakapa_Parsed_Corpus[[#This Row],[Gloss.1]],"    ",Atakapa_Parsed_Corpus[[#This Row],[Gloss.3]])</f>
        <v>yukit aŋ-ot    tuk-to    </v>
      </c>
      <c r="I30" s="0" t="str">
        <f aca="false">_xlfn.CONCAT(Atakapa_Parsed_Corpus[[#This Row],[Gloss.2]],"    ",Atakapa_Parsed_Corpus[[#This Row],[Gloss.4]])</f>
        <v>our  house-DIR bring-2PLIMP    </v>
      </c>
      <c r="J30" s="0" t="s">
        <v>182</v>
      </c>
      <c r="K30" s="3" t="s">
        <v>183</v>
      </c>
    </row>
    <row r="31" customFormat="false" ht="15" hidden="false" customHeight="false" outlineLevel="0" collapsed="false">
      <c r="A31" s="0" t="n">
        <v>37</v>
      </c>
      <c r="C31" s="0" t="s">
        <v>184</v>
      </c>
      <c r="D31" s="0" t="s">
        <v>185</v>
      </c>
      <c r="E31" s="0" t="s">
        <v>186</v>
      </c>
      <c r="H31" s="0" t="str">
        <f aca="false">_xlfn.CONCAT(Atakapa_Parsed_Corpus[[#This Row],[Gloss.1]],"    ",Atakapa_Parsed_Corpus[[#This Row],[Gloss.3]])</f>
        <v>hi-miš-ø            kawkaw    </v>
      </c>
      <c r="I31" s="0" t="str">
        <f aca="false">_xlfn.CONCAT(Atakapa_Parsed_Corpus[[#This Row],[Gloss.2]],"    ",Atakapa_Parsed_Corpus[[#This Row],[Gloss.4]])</f>
        <v>1SOBJ-give-2SIMP    water    </v>
      </c>
      <c r="J31" s="0" t="s">
        <v>187</v>
      </c>
      <c r="K31" s="3" t="s">
        <v>188</v>
      </c>
    </row>
    <row r="32" customFormat="false" ht="15" hidden="false" customHeight="false" outlineLevel="0" collapsed="false">
      <c r="A32" s="0" t="n">
        <v>38</v>
      </c>
      <c r="B32" s="0" t="s">
        <v>189</v>
      </c>
      <c r="C32" s="0" t="s">
        <v>190</v>
      </c>
      <c r="D32" s="0" t="s">
        <v>191</v>
      </c>
      <c r="E32" s="0" t="s">
        <v>192</v>
      </c>
      <c r="H32" s="0" t="str">
        <f aca="false">_xlfn.CONCAT(Atakapa_Parsed_Corpus[[#This Row],[Gloss.1]],"    ",Atakapa_Parsed_Corpus[[#This Row],[Gloss.3]])</f>
        <v>n̥-hu-o-hah    </v>
      </c>
      <c r="I32" s="0" t="str">
        <f aca="false">_xlfn.CONCAT(Atakapa_Parsed_Corpus[[#This Row],[Gloss.2]],"    ",Atakapa_Parsed_Corpus[[#This Row],[Gloss.4]])</f>
        <v>2SOBJ-see-1SS-NEG    </v>
      </c>
      <c r="J32" s="0" t="s">
        <v>193</v>
      </c>
      <c r="K32" s="3" t="s">
        <v>194</v>
      </c>
    </row>
    <row r="33" customFormat="false" ht="15" hidden="false" customHeight="false" outlineLevel="0" collapsed="false">
      <c r="A33" s="0" t="n">
        <v>39</v>
      </c>
      <c r="B33" s="0" t="s">
        <v>195</v>
      </c>
      <c r="C33" s="0" t="s">
        <v>89</v>
      </c>
      <c r="D33" s="0" t="s">
        <v>196</v>
      </c>
      <c r="E33" s="0" t="s">
        <v>197</v>
      </c>
      <c r="H33" s="0" t="str">
        <f aca="false">_xlfn.CONCAT(Atakapa_Parsed_Corpus[[#This Row],[Gloss.1]],"    ",Atakapa_Parsed_Corpus[[#This Row],[Gloss.3]])</f>
        <v>iš-ø-pac-hah-at    </v>
      </c>
      <c r="I33" s="0" t="str">
        <f aca="false">_xlfn.CONCAT(Atakapa_Parsed_Corpus[[#This Row],[Gloss.2]],"    ",Atakapa_Parsed_Corpus[[#This Row],[Gloss.4]])</f>
        <v>1PLOBJ-3STATS-beat-NEG-PRET    </v>
      </c>
      <c r="J33" s="0" t="s">
        <v>92</v>
      </c>
      <c r="K33" s="3" t="s">
        <v>198</v>
      </c>
    </row>
    <row r="34" customFormat="false" ht="15" hidden="false" customHeight="false" outlineLevel="0" collapsed="false">
      <c r="A34" s="0" t="n">
        <v>40</v>
      </c>
      <c r="B34" s="0" t="s">
        <v>199</v>
      </c>
      <c r="C34" s="0" t="s">
        <v>200</v>
      </c>
      <c r="D34" s="0" t="s">
        <v>201</v>
      </c>
      <c r="E34" s="0" t="s">
        <v>202</v>
      </c>
      <c r="H34" s="0" t="str">
        <f aca="false">_xlfn.CONCAT(Atakapa_Parsed_Corpus[[#This Row],[Gloss.1]],"    ",Atakapa_Parsed_Corpus[[#This Row],[Gloss.3]])</f>
        <v>ha   nak-ø-cum-at    </v>
      </c>
      <c r="I34" s="0" t="str">
        <f aca="false">_xlfn.CONCAT(Atakapa_Parsed_Corpus[[#This Row],[Gloss.2]],"    ",Atakapa_Parsed_Corpus[[#This Row],[Gloss.4]])</f>
        <v>he   2PLOBJ-3STATS-pinch-PRET    </v>
      </c>
      <c r="J34" s="0" t="s">
        <v>203</v>
      </c>
      <c r="K34" s="3" t="s">
        <v>204</v>
      </c>
    </row>
    <row r="35" customFormat="false" ht="15" hidden="false" customHeight="false" outlineLevel="0" collapsed="false">
      <c r="A35" s="0" t="n">
        <v>41</v>
      </c>
      <c r="B35" s="0" t="s">
        <v>205</v>
      </c>
      <c r="C35" s="0" t="s">
        <v>206</v>
      </c>
      <c r="D35" s="0" t="s">
        <v>207</v>
      </c>
      <c r="E35" s="0" t="s">
        <v>208</v>
      </c>
      <c r="H35" s="0" t="str">
        <f aca="false">_xlfn.CONCAT(Atakapa_Parsed_Corpus[[#This Row],[Gloss.1]],"    ",Atakapa_Parsed_Corpus[[#This Row],[Gloss.3]])</f>
        <v>wi   hi-kaw-at    </v>
      </c>
      <c r="I35" s="0" t="str">
        <f aca="false">_xlfn.CONCAT(Atakapa_Parsed_Corpus[[#This Row],[Gloss.2]],"    ",Atakapa_Parsed_Corpus[[#This Row],[Gloss.4]])</f>
        <v>I    1SSTATS-be.dead/drunk-PRET    </v>
      </c>
      <c r="J35" s="0" t="s">
        <v>209</v>
      </c>
      <c r="K35" s="3" t="s">
        <v>210</v>
      </c>
    </row>
    <row r="36" customFormat="false" ht="15" hidden="false" customHeight="false" outlineLevel="0" collapsed="false">
      <c r="A36" s="0" t="n">
        <v>42</v>
      </c>
      <c r="B36" s="0" t="s">
        <v>211</v>
      </c>
      <c r="C36" s="0" t="s">
        <v>212</v>
      </c>
      <c r="D36" s="0" t="s">
        <v>213</v>
      </c>
      <c r="E36" s="0" t="s">
        <v>214</v>
      </c>
      <c r="H36" s="0" t="str">
        <f aca="false">_xlfn.CONCAT(Atakapa_Parsed_Corpus[[#This Row],[Gloss.1]],"    ",Atakapa_Parsed_Corpus[[#This Row],[Gloss.3]])</f>
        <v>hi-law-at    </v>
      </c>
      <c r="I36" s="0" t="str">
        <f aca="false">_xlfn.CONCAT(Atakapa_Parsed_Corpus[[#This Row],[Gloss.2]],"    ",Atakapa_Parsed_Corpus[[#This Row],[Gloss.4]])</f>
        <v>1SSTATS-be.burned- PRET    </v>
      </c>
      <c r="J36" s="0" t="s">
        <v>215</v>
      </c>
      <c r="K36" s="3" t="s">
        <v>216</v>
      </c>
    </row>
    <row r="37" customFormat="false" ht="15" hidden="false" customHeight="false" outlineLevel="0" collapsed="false">
      <c r="A37" s="0" t="n">
        <v>43</v>
      </c>
      <c r="B37" s="0" t="s">
        <v>217</v>
      </c>
      <c r="C37" s="0" t="s">
        <v>218</v>
      </c>
      <c r="D37" s="0" t="s">
        <v>219</v>
      </c>
      <c r="E37" s="0" t="s">
        <v>220</v>
      </c>
      <c r="H37" s="0" t="str">
        <f aca="false">_xlfn.CONCAT(Atakapa_Parsed_Corpus[[#This Row],[Gloss.1]],"    ",Atakapa_Parsed_Corpus[[#This Row],[Gloss.3]])</f>
        <v>wi   ika·t n̥-pak-at    </v>
      </c>
      <c r="I37" s="0" t="str">
        <f aca="false">_xlfn.CONCAT(Atakapa_Parsed_Corpus[[#This Row],[Gloss.2]],"    ",Atakapa_Parsed_Corpus[[#This Row],[Gloss.4]])</f>
        <v>my   foot 2SSTATS-step.on- PRET    </v>
      </c>
      <c r="J37" s="0" t="s">
        <v>221</v>
      </c>
      <c r="K37" s="3" t="s">
        <v>222</v>
      </c>
    </row>
    <row r="38" customFormat="false" ht="15" hidden="false" customHeight="false" outlineLevel="0" collapsed="false">
      <c r="A38" s="0" t="n">
        <v>44</v>
      </c>
      <c r="B38" s="0" t="s">
        <v>223</v>
      </c>
      <c r="C38" s="0" t="s">
        <v>224</v>
      </c>
      <c r="D38" s="0" t="s">
        <v>225</v>
      </c>
      <c r="E38" s="0" t="s">
        <v>226</v>
      </c>
      <c r="H38" s="0" t="str">
        <f aca="false">_xlfn.CONCAT(Atakapa_Parsed_Corpus[[#This Row],[Gloss.1]],"    ",Atakapa_Parsed_Corpus[[#This Row],[Gloss.3]])</f>
        <v>halkin    cipš-ø-at      yukhiti   tul-ot    </v>
      </c>
      <c r="I38" s="0" t="str">
        <f aca="false">_xlfn.CONCAT(Atakapa_Parsed_Corpus[[#This Row],[Gloss.2]],"    ",Atakapa_Parsed_Corpus[[#This Row],[Gloss.4]])</f>
        <v>afterwards move-3SS-PRET Indian    lake-DIR    </v>
      </c>
      <c r="J38" s="0" t="s">
        <v>227</v>
      </c>
      <c r="K38" s="3" t="s">
        <v>228</v>
      </c>
    </row>
    <row r="39" customFormat="false" ht="15" hidden="false" customHeight="false" outlineLevel="0" collapsed="false">
      <c r="A39" s="0" t="n">
        <v>45</v>
      </c>
      <c r="B39" s="0" t="s">
        <v>229</v>
      </c>
      <c r="C39" s="0" t="s">
        <v>230</v>
      </c>
      <c r="D39" s="0" t="s">
        <v>231</v>
      </c>
      <c r="E39" s="0" t="s">
        <v>232</v>
      </c>
      <c r="H39" s="0" t="str">
        <f aca="false">_xlfn.CONCAT(Atakapa_Parsed_Corpus[[#This Row],[Gloss.1]],"    ",Atakapa_Parsed_Corpus[[#This Row],[Gloss.3]])</f>
        <v>yukit-š   iš-hat-ciškiš-at         yukit oke·t    hu-ne.    </v>
      </c>
      <c r="I39" s="0" t="str">
        <f aca="false">_xlfn.CONCAT(Atakapa_Parsed_Corpus[[#This Row],[Gloss.2]],"    ",Atakapa_Parsed_Corpus[[#This Row],[Gloss.4]])</f>
        <v>we-FOC    1PLSTATS-REFLEX-be:glad-PRET our mother see-GER    </v>
      </c>
      <c r="J39" s="0" t="s">
        <v>233</v>
      </c>
      <c r="K39" s="3" t="s">
        <v>234</v>
      </c>
    </row>
    <row r="40" customFormat="false" ht="15" hidden="false" customHeight="false" outlineLevel="0" collapsed="false">
      <c r="A40" s="0" t="n">
        <v>46</v>
      </c>
      <c r="B40" s="0" t="s">
        <v>235</v>
      </c>
      <c r="C40" s="0" t="s">
        <v>236</v>
      </c>
      <c r="D40" s="0" t="s">
        <v>237</v>
      </c>
      <c r="E40" s="0" t="s">
        <v>238</v>
      </c>
      <c r="H40" s="0" t="str">
        <f aca="false">_xlfn.CONCAT(Atakapa_Parsed_Corpus[[#This Row],[Gloss.1]],"    ",Atakapa_Parsed_Corpus[[#This Row],[Gloss.3]])</f>
        <v>yukit-š   tiš-ne    iš-oŋš-at    </v>
      </c>
      <c r="I40" s="0" t="str">
        <f aca="false">_xlfn.CONCAT(Atakapa_Parsed_Corpus[[#This Row],[Gloss.2]],"    ",Atakapa_Parsed_Corpus[[#This Row],[Gloss.4]])</f>
        <v>we-FOC    go(sg)-GER 1PLSTATS-not.want-PRET    </v>
      </c>
      <c r="J40" s="0" t="s">
        <v>239</v>
      </c>
      <c r="K40" s="3" t="s">
        <v>240</v>
      </c>
    </row>
    <row r="41" customFormat="false" ht="15" hidden="false" customHeight="false" outlineLevel="0" collapsed="false">
      <c r="A41" s="0" t="n">
        <v>47</v>
      </c>
      <c r="B41" s="0" t="s">
        <v>241</v>
      </c>
      <c r="C41" s="0" t="s">
        <v>242</v>
      </c>
      <c r="D41" s="0" t="s">
        <v>243</v>
      </c>
      <c r="E41" s="0" t="s">
        <v>244</v>
      </c>
      <c r="H41" s="0" t="str">
        <f aca="false">_xlfn.CONCAT(Atakapa_Parsed_Corpus[[#This Row],[Gloss.1]],"    ",Atakapa_Parsed_Corpus[[#This Row],[Gloss.3]])</f>
        <v>nak-šak-aƛiš-at    </v>
      </c>
      <c r="I41" s="0" t="str">
        <f aca="false">_xlfn.CONCAT(Atakapa_Parsed_Corpus[[#This Row],[Gloss.2]],"    ",Atakapa_Parsed_Corpus[[#This Row],[Gloss.4]])</f>
        <v>2PLSTATS-3PLOBJ-lose-PRET    </v>
      </c>
      <c r="J41" s="0" t="s">
        <v>245</v>
      </c>
      <c r="K41" s="3" t="s">
        <v>246</v>
      </c>
    </row>
    <row r="42" customFormat="false" ht="15" hidden="false" customHeight="false" outlineLevel="0" collapsed="false">
      <c r="A42" s="0" t="n">
        <v>48</v>
      </c>
      <c r="B42" s="0" t="s">
        <v>247</v>
      </c>
      <c r="C42" s="0" t="s">
        <v>248</v>
      </c>
      <c r="D42" s="0" t="s">
        <v>249</v>
      </c>
      <c r="E42" s="0" t="s">
        <v>250</v>
      </c>
      <c r="H42" s="0" t="str">
        <f aca="false">_xlfn.CONCAT(Atakapa_Parsed_Corpus[[#This Row],[Gloss.1]],"    ",Atakapa_Parsed_Corpus[[#This Row],[Gloss.3]])</f>
        <v>hakit tem      am-ul-at    </v>
      </c>
      <c r="I42" s="0" t="str">
        <f aca="false">_xlfn.CONCAT(Atakapa_Parsed_Corpus[[#This Row],[Gloss.2]],"    ",Atakapa_Parsed_Corpus[[#This Row],[Gloss.4]])</f>
        <v>they yesterday drink-3PLS-PRET    </v>
      </c>
      <c r="J42" s="0" t="s">
        <v>251</v>
      </c>
      <c r="K42" s="3" t="s">
        <v>252</v>
      </c>
    </row>
    <row r="43" customFormat="false" ht="15" hidden="false" customHeight="false" outlineLevel="0" collapsed="false">
      <c r="A43" s="0" t="n">
        <v>49</v>
      </c>
      <c r="B43" s="0" t="s">
        <v>253</v>
      </c>
      <c r="C43" s="0" t="s">
        <v>254</v>
      </c>
      <c r="D43" s="0" t="s">
        <v>255</v>
      </c>
      <c r="E43" s="0" t="s">
        <v>256</v>
      </c>
      <c r="H43" s="0" t="str">
        <f aca="false">_xlfn.CONCAT(Atakapa_Parsed_Corpus[[#This Row],[Gloss.1]],"    ",Atakapa_Parsed_Corpus[[#This Row],[Gloss.3]])</f>
        <v>ya   kawšne    ø-paƛ-at    </v>
      </c>
      <c r="I43" s="0" t="str">
        <f aca="false">_xlfn.CONCAT(Atakapa_Parsed_Corpus[[#This Row],[Gloss.2]],"    ",Atakapa_Parsed_Corpus[[#This Row],[Gloss.4]])</f>
        <v>that comb      3STATS-be.broken-PRET    </v>
      </c>
      <c r="J43" s="0" t="s">
        <v>257</v>
      </c>
      <c r="K43" s="3" t="s">
        <v>258</v>
      </c>
    </row>
    <row r="44" customFormat="false" ht="15" hidden="false" customHeight="false" outlineLevel="0" collapsed="false">
      <c r="A44" s="0" t="n">
        <v>50</v>
      </c>
      <c r="B44" s="0" t="s">
        <v>259</v>
      </c>
      <c r="C44" s="0" t="s">
        <v>260</v>
      </c>
      <c r="D44" s="0" t="s">
        <v>261</v>
      </c>
      <c r="E44" s="0" t="s">
        <v>262</v>
      </c>
      <c r="H44" s="0" t="str">
        <f aca="false">_xlfn.CONCAT(Atakapa_Parsed_Corpus[[#This Row],[Gloss.1]],"    ",Atakapa_Parsed_Corpus[[#This Row],[Gloss.3]])</f>
        <v>yil  mo·n tay  o         hok-tiwe·-iš-waŋ-ehe    </v>
      </c>
      <c r="I44" s="0" t="str">
        <f aca="false">_xlfn.CONCAT(Atakapa_Parsed_Corpus[[#This Row],[Gloss.2]],"    ",Atakapa_Parsed_Corpus[[#This Row],[Gloss.4]])</f>
        <v>day  every river along   RECIP-be.together-1PLSTATS-walk-DUB 3    </v>
      </c>
      <c r="J44" s="0" t="s">
        <v>263</v>
      </c>
      <c r="K44" s="3" t="s">
        <v>264</v>
      </c>
    </row>
    <row r="45" customFormat="false" ht="15" hidden="false" customHeight="false" outlineLevel="0" collapsed="false">
      <c r="A45" s="0" t="n">
        <v>51</v>
      </c>
      <c r="B45" s="0" t="s">
        <v>265</v>
      </c>
      <c r="C45" s="0" t="s">
        <v>266</v>
      </c>
      <c r="D45" s="0" t="s">
        <v>267</v>
      </c>
      <c r="E45" s="0" t="s">
        <v>268</v>
      </c>
      <c r="H45" s="0" t="str">
        <f aca="false">_xlfn.CONCAT(Atakapa_Parsed_Corpus[[#This Row],[Gloss.1]],"    ",Atakapa_Parsed_Corpus[[#This Row],[Gloss.3]])</f>
        <v>ha   hilay awp ok-ø-ehe    </v>
      </c>
      <c r="I45" s="0" t="str">
        <f aca="false">_xlfn.CONCAT(Atakapa_Parsed_Corpus[[#This Row],[Gloss.2]],"    ",Atakapa_Parsed_Corpus[[#This Row],[Gloss.4]])</f>
        <v>his  wife here come-3SS-DUB    </v>
      </c>
      <c r="J45" s="0" t="s">
        <v>269</v>
      </c>
      <c r="K45" s="3" t="s">
        <v>270</v>
      </c>
    </row>
    <row r="46" customFormat="false" ht="15" hidden="false" customHeight="false" outlineLevel="0" collapsed="false">
      <c r="A46" s="0" t="n">
        <v>53</v>
      </c>
      <c r="B46" s="0" t="s">
        <v>271</v>
      </c>
      <c r="C46" s="0" t="s">
        <v>272</v>
      </c>
      <c r="D46" s="0" t="s">
        <v>273</v>
      </c>
      <c r="E46" s="0" t="s">
        <v>274</v>
      </c>
      <c r="H46" s="0" t="str">
        <f aca="false">_xlfn.CONCAT(Atakapa_Parsed_Corpus[[#This Row],[Gloss.1]],"    ",Atakapa_Parsed_Corpus[[#This Row],[Gloss.3]])</f>
        <v>hakit šokoy-ul-ehe    </v>
      </c>
      <c r="I46" s="0" t="str">
        <f aca="false">_xlfn.CONCAT(Atakapa_Parsed_Corpus[[#This Row],[Gloss.2]],"    ",Atakapa_Parsed_Corpus[[#This Row],[Gloss.4]])</f>
        <v>they be.chief-3PLS-DUB    </v>
      </c>
      <c r="J46" s="0" t="s">
        <v>275</v>
      </c>
      <c r="K46" s="3" t="s">
        <v>276</v>
      </c>
    </row>
    <row r="47" customFormat="false" ht="15" hidden="false" customHeight="false" outlineLevel="0" collapsed="false">
      <c r="A47" s="0" t="n">
        <v>55</v>
      </c>
      <c r="B47" s="0" t="s">
        <v>277</v>
      </c>
      <c r="C47" s="0" t="s">
        <v>278</v>
      </c>
      <c r="D47" s="0" t="s">
        <v>279</v>
      </c>
      <c r="E47" s="0" t="s">
        <v>280</v>
      </c>
      <c r="H47" s="0" t="str">
        <f aca="false">_xlfn.CONCAT(Atakapa_Parsed_Corpus[[#This Row],[Gloss.1]],"    ",Atakapa_Parsed_Corpus[[#This Row],[Gloss.3]])</f>
        <v>hal  hi-waŋ-tikit-hah    </v>
      </c>
      <c r="I47" s="0" t="str">
        <f aca="false">_xlfn.CONCAT(Atakapa_Parsed_Corpus[[#This Row],[Gloss.2]],"    ",Atakapa_Parsed_Corpus[[#This Row],[Gloss.4]])</f>
        <v>again 1SSTATS-walk-FUT-NEG    </v>
      </c>
      <c r="J47" s="0" t="s">
        <v>281</v>
      </c>
      <c r="K47" s="3" t="s">
        <v>282</v>
      </c>
    </row>
    <row r="48" customFormat="false" ht="15" hidden="false" customHeight="false" outlineLevel="0" collapsed="false">
      <c r="A48" s="0" t="n">
        <v>57</v>
      </c>
      <c r="B48" s="0" t="s">
        <v>19</v>
      </c>
      <c r="C48" s="0" t="s">
        <v>283</v>
      </c>
      <c r="D48" s="0" t="s">
        <v>284</v>
      </c>
      <c r="E48" s="0" t="s">
        <v>285</v>
      </c>
      <c r="H48" s="0" t="str">
        <f aca="false">_xlfn.CONCAT(Atakapa_Parsed_Corpus[[#This Row],[Gloss.1]],"    ",Atakapa_Parsed_Corpus[[#This Row],[Gloss.3]])</f>
        <v>ø-uš-tikit    </v>
      </c>
      <c r="I48" s="0" t="str">
        <f aca="false">_xlfn.CONCAT(Atakapa_Parsed_Corpus[[#This Row],[Gloss.2]],"    ",Atakapa_Parsed_Corpus[[#This Row],[Gloss.4]])</f>
        <v>3STATS-be.so- FUT    </v>
      </c>
      <c r="J48" s="0" t="s">
        <v>23</v>
      </c>
      <c r="K48" s="3" t="s">
        <v>286</v>
      </c>
    </row>
    <row r="49" customFormat="false" ht="15" hidden="false" customHeight="false" outlineLevel="0" collapsed="false">
      <c r="A49" s="0" t="n">
        <v>58</v>
      </c>
      <c r="B49" s="0" t="s">
        <v>287</v>
      </c>
      <c r="C49" s="0" t="s">
        <v>288</v>
      </c>
      <c r="D49" s="0" t="s">
        <v>289</v>
      </c>
      <c r="E49" s="0" t="s">
        <v>290</v>
      </c>
      <c r="H49" s="0" t="str">
        <f aca="false">_xlfn.CONCAT(Atakapa_Parsed_Corpus[[#This Row],[Gloss.1]],"    ",Atakapa_Parsed_Corpus[[#This Row],[Gloss.3]])</f>
        <v>hi-makaw-kit    </v>
      </c>
      <c r="I49" s="0" t="str">
        <f aca="false">_xlfn.CONCAT(Atakapa_Parsed_Corpus[[#This Row],[Gloss.2]],"    ",Atakapa_Parsed_Corpus[[#This Row],[Gloss.4]])</f>
        <v>1SSTATS-fall(sg)-PROG(SG)    </v>
      </c>
      <c r="J49" s="0" t="s">
        <v>291</v>
      </c>
      <c r="K49" s="3" t="s">
        <v>292</v>
      </c>
    </row>
    <row r="50" customFormat="false" ht="15" hidden="false" customHeight="false" outlineLevel="0" collapsed="false">
      <c r="A50" s="0" t="n">
        <v>59</v>
      </c>
      <c r="C50" s="0" t="s">
        <v>293</v>
      </c>
      <c r="D50" s="0" t="s">
        <v>294</v>
      </c>
      <c r="E50" s="0" t="s">
        <v>295</v>
      </c>
      <c r="H50" s="0" t="str">
        <f aca="false">_xlfn.CONCAT(Atakapa_Parsed_Corpus[[#This Row],[Gloss.1]],"    ",Atakapa_Parsed_Corpus[[#This Row],[Gloss.3]])</f>
        <v>wi-iš a   šok-hi-hu-kit-hahš    </v>
      </c>
      <c r="I50" s="0" t="str">
        <f aca="false">_xlfn.CONCAT(Atakapa_Parsed_Corpus[[#This Row],[Gloss.2]],"    ",Atakapa_Parsed_Corpus[[#This Row],[Gloss.4]])</f>
        <v>I-foc this sth-1SSTATS-see-PROG(SG)-NEG    </v>
      </c>
      <c r="J50" s="0" t="s">
        <v>296</v>
      </c>
      <c r="K50" s="3" t="s">
        <v>297</v>
      </c>
    </row>
    <row r="51" customFormat="false" ht="15" hidden="false" customHeight="false" outlineLevel="0" collapsed="false">
      <c r="A51" s="0" t="n">
        <v>60</v>
      </c>
      <c r="B51" s="0" t="s">
        <v>298</v>
      </c>
      <c r="C51" s="0" t="s">
        <v>299</v>
      </c>
      <c r="D51" s="0" t="s">
        <v>300</v>
      </c>
      <c r="E51" s="0" t="s">
        <v>301</v>
      </c>
      <c r="H51" s="0" t="str">
        <f aca="false">_xlfn.CONCAT(Atakapa_Parsed_Corpus[[#This Row],[Gloss.1]],"    ",Atakapa_Parsed_Corpus[[#This Row],[Gloss.3]])</f>
        <v>n̥-ka-kit    </v>
      </c>
      <c r="I51" s="0" t="str">
        <f aca="false">_xlfn.CONCAT(Atakapa_Parsed_Corpus[[#This Row],[Gloss.2]],"    ",Atakapa_Parsed_Corpus[[#This Row],[Gloss.4]])</f>
        <v>2SSTATS-do-PROG(SG)    </v>
      </c>
      <c r="J51" s="0" t="s">
        <v>302</v>
      </c>
      <c r="K51" s="3" t="s">
        <v>303</v>
      </c>
    </row>
    <row r="52" customFormat="false" ht="15" hidden="false" customHeight="false" outlineLevel="0" collapsed="false">
      <c r="A52" s="0" t="n">
        <v>61</v>
      </c>
      <c r="B52" s="0" t="s">
        <v>304</v>
      </c>
      <c r="C52" s="0" t="s">
        <v>305</v>
      </c>
      <c r="D52" s="0" t="s">
        <v>306</v>
      </c>
      <c r="E52" s="0" t="s">
        <v>307</v>
      </c>
      <c r="H52" s="0" t="str">
        <f aca="false">_xlfn.CONCAT(Atakapa_Parsed_Corpus[[#This Row],[Gloss.1]],"    ",Atakapa_Parsed_Corpus[[#This Row],[Gloss.3]])</f>
        <v>ciš  ø-waŋ-hayhayš-kit    </v>
      </c>
      <c r="I52" s="0" t="str">
        <f aca="false">_xlfn.CONCAT(Atakapa_Parsed_Corpus[[#This Row],[Gloss.2]],"    ",Atakapa_Parsed_Corpus[[#This Row],[Gloss.4]])</f>
        <v>baby 3STATS-go.about-cry-PROG(SG)    </v>
      </c>
      <c r="J52" s="0" t="s">
        <v>308</v>
      </c>
      <c r="K52" s="3" t="s">
        <v>309</v>
      </c>
    </row>
    <row r="53" customFormat="false" ht="15" hidden="false" customHeight="false" outlineLevel="0" collapsed="false">
      <c r="A53" s="0" t="n">
        <v>62</v>
      </c>
      <c r="B53" s="0" t="s">
        <v>310</v>
      </c>
      <c r="C53" s="0" t="s">
        <v>311</v>
      </c>
      <c r="D53" s="0" t="s">
        <v>312</v>
      </c>
      <c r="E53" s="0" t="s">
        <v>313</v>
      </c>
      <c r="H53" s="0" t="str">
        <f aca="false">_xlfn.CONCAT(Atakapa_Parsed_Corpus[[#This Row],[Gloss.1]],"    ",Atakapa_Parsed_Corpus[[#This Row],[Gloss.3]])</f>
        <v>kawkaw    iš-am-tit           a    </v>
      </c>
      <c r="I53" s="0" t="str">
        <f aca="false">_xlfn.CONCAT(Atakapa_Parsed_Corpus[[#This Row],[Gloss.2]],"    ",Atakapa_Parsed_Corpus[[#This Row],[Gloss.4]])</f>
        <v>water     1PLSTAT-drink-PROG(PL) Q    </v>
      </c>
      <c r="J53" s="0" t="s">
        <v>314</v>
      </c>
      <c r="K53" s="3" t="s">
        <v>315</v>
      </c>
    </row>
    <row r="54" customFormat="false" ht="15" hidden="false" customHeight="false" outlineLevel="0" collapsed="false">
      <c r="A54" s="0" t="n">
        <v>64</v>
      </c>
      <c r="B54" s="0" t="s">
        <v>316</v>
      </c>
      <c r="C54" s="0" t="s">
        <v>317</v>
      </c>
      <c r="D54" s="0" t="s">
        <v>318</v>
      </c>
      <c r="E54" s="0" t="s">
        <v>319</v>
      </c>
      <c r="H54" s="0" t="str">
        <f aca="false">_xlfn.CONCAT(Atakapa_Parsed_Corpus[[#This Row],[Gloss.1]],"    ",Atakapa_Parsed_Corpus[[#This Row],[Gloss.3]])</f>
        <v>kawkaw    nak-am-tit          a    </v>
      </c>
      <c r="I54" s="0" t="str">
        <f aca="false">_xlfn.CONCAT(Atakapa_Parsed_Corpus[[#This Row],[Gloss.2]],"    ",Atakapa_Parsed_Corpus[[#This Row],[Gloss.4]])</f>
        <v>water     2PLSTATS-drink-PROG(PL) Q    </v>
      </c>
      <c r="J54" s="0" t="s">
        <v>320</v>
      </c>
      <c r="K54" s="3" t="s">
        <v>321</v>
      </c>
    </row>
    <row r="55" customFormat="false" ht="15" hidden="false" customHeight="false" outlineLevel="0" collapsed="false">
      <c r="A55" s="0" t="n">
        <v>65</v>
      </c>
      <c r="B55" s="0" t="s">
        <v>322</v>
      </c>
      <c r="C55" s="0" t="s">
        <v>323</v>
      </c>
      <c r="D55" s="0" t="s">
        <v>324</v>
      </c>
      <c r="E55" s="0" t="s">
        <v>325</v>
      </c>
      <c r="H55" s="0" t="str">
        <f aca="false">_xlfn.CONCAT(Atakapa_Parsed_Corpus[[#This Row],[Gloss.1]],"    ",Atakapa_Parsed_Corpus[[#This Row],[Gloss.3]])</f>
        <v>naw       taw-ø-walwalš-tit    </v>
      </c>
      <c r="I55" s="0" t="str">
        <f aca="false">_xlfn.CONCAT(Atakapa_Parsed_Corpus[[#This Row],[Gloss.2]],"    ",Atakapa_Parsed_Corpus[[#This Row],[Gloss.4]])</f>
        <v>feather STAND-3STATS-wave-PROG(PL)    </v>
      </c>
      <c r="J55" s="0" t="s">
        <v>326</v>
      </c>
      <c r="K55" s="3" t="s">
        <v>327</v>
      </c>
    </row>
    <row r="56" customFormat="false" ht="15" hidden="false" customHeight="false" outlineLevel="0" collapsed="false">
      <c r="A56" s="0" t="n">
        <v>66</v>
      </c>
      <c r="B56" s="0" t="s">
        <v>328</v>
      </c>
      <c r="C56" s="0" t="s">
        <v>329</v>
      </c>
      <c r="D56" s="0" t="s">
        <v>330</v>
      </c>
      <c r="E56" s="0" t="s">
        <v>331</v>
      </c>
      <c r="H56" s="0" t="str">
        <f aca="false">_xlfn.CONCAT(Atakapa_Parsed_Corpus[[#This Row],[Gloss.1]],"    ",Atakapa_Parsed_Corpus[[#This Row],[Gloss.3]])</f>
        <v>šakšo·š   šak-šo    waŋ-ø-šolk-tit    </v>
      </c>
      <c r="I56" s="0" t="str">
        <f aca="false">_xlfn.CONCAT(Atakapa_Parsed_Corpus[[#This Row],[Gloss.2]],"    ",Atakapa_Parsed_Corpus[[#This Row],[Gloss.4]])</f>
        <v>bird      PL-seed   go.about-3STATS-pick.up.many-PROG(PL)    </v>
      </c>
      <c r="J56" s="0" t="s">
        <v>332</v>
      </c>
      <c r="K56" s="3" t="s">
        <v>333</v>
      </c>
    </row>
    <row r="57" customFormat="false" ht="15" hidden="false" customHeight="false" outlineLevel="0" collapsed="false">
      <c r="A57" s="0" t="n">
        <v>67</v>
      </c>
      <c r="B57" s="0" t="s">
        <v>334</v>
      </c>
      <c r="C57" s="0" t="s">
        <v>335</v>
      </c>
      <c r="D57" s="0" t="s">
        <v>336</v>
      </c>
      <c r="E57" s="0" t="s">
        <v>337</v>
      </c>
      <c r="F57" s="0" t="s">
        <v>338</v>
      </c>
      <c r="G57" s="0" t="s">
        <v>339</v>
      </c>
      <c r="H57" s="0" t="str">
        <f aca="false">_xlfn.CONCAT(Atakapa_Parsed_Corpus[[#This Row],[Gloss.1]],"    ",Atakapa_Parsed_Corpus[[#This Row],[Gloss.3]])</f>
        <v>iša·k     hilay tanuk ø-ke-at.     iša·k     hilay ci·k    ø-ke-n̥        haceheš</v>
      </c>
      <c r="I57" s="0" t="str">
        <f aca="false">_xlfn.CONCAT(Atakapa_Parsed_Corpus[[#This Row],[Gloss.2]],"    ",Atakapa_Parsed_Corpus[[#This Row],[Gloss.4]])</f>
        <v>person    wife one  3STATS-have-PRET person  wife two    3STATS-have-IF be.bad</v>
      </c>
      <c r="J57" s="0" t="s">
        <v>340</v>
      </c>
      <c r="K57" s="3" t="s">
        <v>341</v>
      </c>
    </row>
    <row r="58" customFormat="false" ht="15" hidden="false" customHeight="false" outlineLevel="0" collapsed="false">
      <c r="A58" s="0" t="n">
        <v>68</v>
      </c>
      <c r="B58" s="0" t="s">
        <v>342</v>
      </c>
      <c r="C58" s="0" t="s">
        <v>343</v>
      </c>
      <c r="D58" s="0" t="s">
        <v>344</v>
      </c>
      <c r="E58" s="0" t="s">
        <v>345</v>
      </c>
      <c r="F58" s="0" t="s">
        <v>346</v>
      </c>
      <c r="G58" s="0" t="s">
        <v>347</v>
      </c>
      <c r="H58" s="0" t="str">
        <f aca="false">_xlfn.CONCAT(Atakapa_Parsed_Corpus[[#This Row],[Gloss.1]],"    ",Atakapa_Parsed_Corpus[[#This Row],[Gloss.3]])</f>
        <v>iša·k     hokwaŋš   ø-waŋ-n̥       ha   šok-hok-inac-ne    mo·n hok-tiwe·-himo·š-ul-at</v>
      </c>
      <c r="I58" s="0" t="str">
        <f aca="false">_xlfn.CONCAT(Atakapa_Parsed_Corpus[[#This Row],[Gloss.2]],"    ",Atakapa_Parsed_Corpus[[#This Row],[Gloss.4]])</f>
        <v>person    war       3STATS-go.about-IF his STH-RECIP-fight-GER    all  RECIP-be.together-bury-3PLS-PRET</v>
      </c>
      <c r="J58" s="0" t="s">
        <v>348</v>
      </c>
      <c r="K58" s="3" t="s">
        <v>349</v>
      </c>
    </row>
    <row r="59" customFormat="false" ht="15" hidden="false" customHeight="false" outlineLevel="0" collapsed="false">
      <c r="A59" s="0" t="n">
        <v>69</v>
      </c>
      <c r="B59" s="0" t="s">
        <v>350</v>
      </c>
      <c r="C59" s="0" t="s">
        <v>351</v>
      </c>
      <c r="D59" s="0" t="s">
        <v>352</v>
      </c>
      <c r="E59" s="0" t="s">
        <v>353</v>
      </c>
      <c r="H59" s="0" t="str">
        <f aca="false">_xlfn.CONCAT(Atakapa_Parsed_Corpus[[#This Row],[Gloss.1]],"    ",Atakapa_Parsed_Corpus[[#This Row],[Gloss.3]])</f>
        <v>awp  n̥-ok-n̥       iš-am-ehe    </v>
      </c>
      <c r="I59" s="0" t="str">
        <f aca="false">_xlfn.CONCAT(Atakapa_Parsed_Corpus[[#This Row],[Gloss.2]],"    ",Atakapa_Parsed_Corpus[[#This Row],[Gloss.4]])</f>
        <v>here 2STATS-come-IF 1PLSTATS-drink-DUB    </v>
      </c>
      <c r="J59" s="0" t="s">
        <v>354</v>
      </c>
      <c r="K59" s="3" t="s">
        <v>355</v>
      </c>
    </row>
    <row r="60" customFormat="false" ht="15" hidden="false" customHeight="false" outlineLevel="0" collapsed="false">
      <c r="A60" s="0" t="n">
        <v>71</v>
      </c>
      <c r="B60" s="0" t="s">
        <v>356</v>
      </c>
      <c r="C60" s="0" t="s">
        <v>357</v>
      </c>
      <c r="D60" s="0" t="s">
        <v>358</v>
      </c>
      <c r="E60" s="0" t="s">
        <v>359</v>
      </c>
      <c r="H60" s="0" t="str">
        <f aca="false">_xlfn.CONCAT(Atakapa_Parsed_Corpus[[#This Row],[Gloss.1]],"    ",Atakapa_Parsed_Corpus[[#This Row],[Gloss.3]])</f>
        <v>šoká·k-háŋš-ti-n                   himo·š-ul-at    </v>
      </c>
      <c r="I60" s="0" t="str">
        <f aca="false">_xlfn.CONCAT(Atakapa_Parsed_Corpus[[#This Row],[Gloss.2]],"    ",Atakapa_Parsed_Corpus[[#This Row],[Gloss.4]])</f>
        <v>ceremonial.dance-FINISH-PST.PROG-WHEN bury-3PLS-PRET    </v>
      </c>
      <c r="J60" s="0" t="s">
        <v>360</v>
      </c>
      <c r="K60" s="3" t="s">
        <v>361</v>
      </c>
    </row>
    <row r="61" customFormat="false" ht="15" hidden="false" customHeight="false" outlineLevel="0" collapsed="false">
      <c r="A61" s="0" t="n">
        <v>72</v>
      </c>
      <c r="B61" s="0" t="s">
        <v>362</v>
      </c>
      <c r="C61" s="0" t="s">
        <v>363</v>
      </c>
      <c r="D61" s="0" t="s">
        <v>364</v>
      </c>
      <c r="E61" s="0" t="s">
        <v>365</v>
      </c>
      <c r="F61" s="0" t="s">
        <v>366</v>
      </c>
      <c r="G61" s="0" t="s">
        <v>367</v>
      </c>
      <c r="H61" s="0" t="str">
        <f aca="false">_xlfn.CONCAT(Atakapa_Parsed_Corpus[[#This Row],[Gloss.1]],"    ",Atakapa_Parsed_Corpus[[#This Row],[Gloss.3]])</f>
        <v>neš  išo·mš-kin yukhiti tul-ip lok-kin  ø-iwa·t-n̥    Ø-hu-nst       yil       ø-iwa·t-n̥</v>
      </c>
      <c r="I61" s="0" t="str">
        <f aca="false">_xlfn.CONCAT(Atakapa_Parsed_Corpus[[#This Row],[Gloss.2]],"    ",Atakapa_Parsed_Corpus[[#This Row],[Gloss.4]])</f>
        <v>tree small(pl)-LOC Indian lake-INESS prairie-LOC 3STATS-move.hither-WHEN    3STATS-see-CUSTOM by.day 3STATS-move.hither-WHEN</v>
      </c>
      <c r="J61" s="0" t="s">
        <v>368</v>
      </c>
      <c r="K61" s="3" t="s">
        <v>369</v>
      </c>
    </row>
    <row r="62" customFormat="false" ht="15" hidden="false" customHeight="false" outlineLevel="0" collapsed="false">
      <c r="A62" s="0" t="n">
        <v>74</v>
      </c>
      <c r="B62" s="0" t="s">
        <v>370</v>
      </c>
      <c r="C62" s="0" t="s">
        <v>371</v>
      </c>
      <c r="D62" s="0" t="s">
        <v>372</v>
      </c>
      <c r="E62" s="0" t="s">
        <v>373</v>
      </c>
      <c r="H62" s="0" t="str">
        <f aca="false">_xlfn.CONCAT(Atakapa_Parsed_Corpus[[#This Row],[Gloss.1]],"    ",Atakapa_Parsed_Corpus[[#This Row],[Gloss.3]])</f>
        <v>kíš       n̥-tol-n̥      nahka          n̥-tíš-n̥    </v>
      </c>
      <c r="I62" s="0" t="str">
        <f aca="false">_xlfn.CONCAT(Atakapa_Parsed_Corpus[[#This Row],[Gloss.2]],"    ",Atakapa_Parsed_Corpus[[#This Row],[Gloss.4]])</f>
        <v>woman     2SSTATS-be.good-IF &lt;must.not&gt;7 2SSTATS-go-IF    </v>
      </c>
      <c r="J62" s="0" t="s">
        <v>374</v>
      </c>
      <c r="K62" s="3" t="s">
        <v>375</v>
      </c>
    </row>
    <row r="63" customFormat="false" ht="15" hidden="false" customHeight="false" outlineLevel="0" collapsed="false">
      <c r="A63" s="0" t="n">
        <v>75</v>
      </c>
      <c r="B63" s="0" t="s">
        <v>376</v>
      </c>
      <c r="C63" s="0" t="s">
        <v>377</v>
      </c>
      <c r="D63" s="0" t="s">
        <v>378</v>
      </c>
      <c r="E63" s="0" t="s">
        <v>379</v>
      </c>
      <c r="F63" s="0" t="s">
        <v>380</v>
      </c>
      <c r="G63" s="0" t="s">
        <v>381</v>
      </c>
      <c r="H63" s="0" t="str">
        <f aca="false">_xlfn.CONCAT(Atakapa_Parsed_Corpus[[#This Row],[Gloss.1]],"    ",Atakapa_Parsed_Corpus[[#This Row],[Gloss.3]])</f>
        <v>šók       hi-wine-at     na-ik-š        nahka    n̥-wanc-n̥</v>
      </c>
      <c r="I63" s="0" t="str">
        <f aca="false">_xlfn.CONCAT(Atakapa_Parsed_Corpus[[#This Row],[Gloss.2]],"    ",Atakapa_Parsed_Corpus[[#This Row],[Gloss.4]])</f>
        <v>something 1SSTATS-find-PRET you-ERG.AGNT-FOC must.not7    2SSTATS-tell-IF</v>
      </c>
      <c r="J63" s="0" t="s">
        <v>382</v>
      </c>
      <c r="K63" s="3" t="s">
        <v>383</v>
      </c>
    </row>
    <row r="64" customFormat="false" ht="15" hidden="false" customHeight="false" outlineLevel="0" collapsed="false">
      <c r="A64" s="0" t="n">
        <v>77</v>
      </c>
      <c r="B64" s="0" t="s">
        <v>384</v>
      </c>
      <c r="C64" s="0" t="s">
        <v>385</v>
      </c>
      <c r="D64" s="0" t="s">
        <v>386</v>
      </c>
      <c r="E64" s="0" t="s">
        <v>387</v>
      </c>
      <c r="H64" s="0" t="str">
        <f aca="false">_xlfn.CONCAT(Atakapa_Parsed_Corpus[[#This Row],[Gloss.1]],"    ",Atakapa_Parsed_Corpus[[#This Row],[Gloss.3]])</f>
        <v>yukit pay-ok-cel-n̥    </v>
      </c>
      <c r="I64" s="0" t="str">
        <f aca="false">_xlfn.CONCAT(Atakapa_Parsed_Corpus[[#This Row],[Gloss.2]],"    ",Atakapa_Parsed_Corpus[[#This Row],[Gloss.4]])</f>
        <v>we   BACK-come-1PLS-IF    </v>
      </c>
      <c r="J64" s="0" t="s">
        <v>388</v>
      </c>
      <c r="K64" s="3" t="s">
        <v>389</v>
      </c>
    </row>
    <row r="65" customFormat="false" ht="15" hidden="false" customHeight="false" outlineLevel="0" collapsed="false">
      <c r="A65" s="0" t="n">
        <v>79</v>
      </c>
      <c r="B65" s="0" t="s">
        <v>390</v>
      </c>
      <c r="C65" s="0" t="s">
        <v>391</v>
      </c>
      <c r="D65" s="0" t="s">
        <v>392</v>
      </c>
      <c r="E65" s="0" t="s">
        <v>393</v>
      </c>
      <c r="H65" s="0" t="str">
        <f aca="false">_xlfn.CONCAT(Atakapa_Parsed_Corpus[[#This Row],[Gloss.1]],"    ",Atakapa_Parsed_Corpus[[#This Row],[Gloss.3]])</f>
        <v>hikawš-kin ika·t    oc        ø-pak-at    </v>
      </c>
      <c r="I65" s="0" t="str">
        <f aca="false">_xlfn.CONCAT(Atakapa_Parsed_Corpus[[#This Row],[Gloss.2]],"    ",Atakapa_Parsed_Corpus[[#This Row],[Gloss.4]])</f>
        <v>finish-WHEN mouth   on.top.of 3STATS-hit-PRET    </v>
      </c>
      <c r="J65" s="0" t="s">
        <v>394</v>
      </c>
      <c r="K65" s="3" t="s">
        <v>395</v>
      </c>
    </row>
    <row r="66" customFormat="false" ht="15" hidden="false" customHeight="false" outlineLevel="0" collapsed="false">
      <c r="A66" s="0" t="n">
        <v>80</v>
      </c>
      <c r="B66" s="0" t="s">
        <v>396</v>
      </c>
      <c r="C66" s="0" t="s">
        <v>397</v>
      </c>
      <c r="D66" s="0" t="s">
        <v>398</v>
      </c>
      <c r="E66" s="0" t="s">
        <v>399</v>
      </c>
      <c r="H66" s="0" t="str">
        <f aca="false">_xlfn.CONCAT(Atakapa_Parsed_Corpus[[#This Row],[Gloss.1]],"    ",Atakapa_Parsed_Corpus[[#This Row],[Gloss.3]])</f>
        <v>wi-iš kew-hi-am-kin      &lt;Jack&gt;    makaw-at    </v>
      </c>
      <c r="I66" s="0" t="str">
        <f aca="false">_xlfn.CONCAT(Atakapa_Parsed_Corpus[[#This Row],[Gloss.2]],"    ",Atakapa_Parsed_Corpus[[#This Row],[Gloss.4]])</f>
        <v>I-FOC SIT-1SSTATS-drink-WHEN PN    fall(sg)-PRET    </v>
      </c>
      <c r="J66" s="0" t="s">
        <v>400</v>
      </c>
      <c r="K66" s="3" t="s">
        <v>401</v>
      </c>
    </row>
    <row r="67" customFormat="false" ht="15" hidden="false" customHeight="false" outlineLevel="0" collapsed="false">
      <c r="A67" s="0" t="n">
        <v>81</v>
      </c>
      <c r="B67" s="0" t="s">
        <v>402</v>
      </c>
      <c r="C67" s="0" t="s">
        <v>403</v>
      </c>
      <c r="D67" s="0" t="s">
        <v>404</v>
      </c>
      <c r="E67" s="0" t="s">
        <v>405</v>
      </c>
      <c r="F67" s="0" t="s">
        <v>406</v>
      </c>
      <c r="G67" s="0" t="s">
        <v>407</v>
      </c>
      <c r="H67" s="0" t="str">
        <f aca="false">_xlfn.CONCAT(Atakapa_Parsed_Corpus[[#This Row],[Gloss.1]],"    ",Atakapa_Parsed_Corpus[[#This Row],[Gloss.3]])</f>
        <v>ø-waŋ-hok-pe·m-kin       iša·kšakkoŋne    ok-šak-yal-at</v>
      </c>
      <c r="I67" s="0" t="str">
        <f aca="false">_xlfn.CONCAT(Atakapa_Parsed_Corpus[[#This Row],[Gloss.2]],"    ",Atakapa_Parsed_Corpus[[#This Row],[Gloss.4]])</f>
        <v>3STATS-go.about-RECIP-shoot-WHEN sheriff    COME.AND-3PLO-sieze(pl)-PRET</v>
      </c>
      <c r="J67" s="0" t="s">
        <v>408</v>
      </c>
      <c r="K67" s="3" t="s">
        <v>409</v>
      </c>
    </row>
    <row r="68" customFormat="false" ht="15" hidden="false" customHeight="false" outlineLevel="0" collapsed="false">
      <c r="A68" s="0" t="n">
        <v>82</v>
      </c>
      <c r="B68" s="0" t="s">
        <v>410</v>
      </c>
      <c r="C68" s="0" t="s">
        <v>411</v>
      </c>
      <c r="D68" s="0" t="s">
        <v>412</v>
      </c>
      <c r="E68" s="0" t="s">
        <v>413</v>
      </c>
      <c r="H68" s="0" t="str">
        <f aca="false">_xlfn.CONCAT(Atakapa_Parsed_Corpus[[#This Row],[Gloss.1]],"    ",Atakapa_Parsed_Corpus[[#This Row],[Gloss.3]])</f>
        <v>hi-šoke·š-ip        hi-ok-hahš-at    </v>
      </c>
      <c r="I68" s="0" t="str">
        <f aca="false">_xlfn.CONCAT(Atakapa_Parsed_Corpus[[#This Row],[Gloss.2]],"    ",Atakapa_Parsed_Corpus[[#This Row],[Gloss.4]])</f>
        <v>1SSTATS-be.sick-CAUSE 1SSTATS-come-NEG-PRET    </v>
      </c>
      <c r="J68" s="0" t="s">
        <v>414</v>
      </c>
      <c r="K68" s="3" t="s">
        <v>415</v>
      </c>
    </row>
    <row r="69" customFormat="false" ht="15" hidden="false" customHeight="false" outlineLevel="0" collapsed="false">
      <c r="A69" s="0" t="n">
        <v>83</v>
      </c>
      <c r="B69" s="0" t="s">
        <v>416</v>
      </c>
      <c r="C69" s="0" t="s">
        <v>417</v>
      </c>
      <c r="D69" s="0" t="s">
        <v>418</v>
      </c>
      <c r="E69" s="0" t="s">
        <v>419</v>
      </c>
      <c r="F69" s="0" t="s">
        <v>420</v>
      </c>
      <c r="G69" s="0" t="s">
        <v>421</v>
      </c>
      <c r="H69" s="0" t="str">
        <f aca="false">_xlfn.CONCAT(Atakapa_Parsed_Corpus[[#This Row],[Gloss.1]],"    ",Atakapa_Parsed_Corpus[[#This Row],[Gloss.3]])</f>
        <v>&lt;Jack&gt;    aŋla·k-kin    inholš-ul-at   hiwew-ka    ø-am-ip</v>
      </c>
      <c r="I69" s="0" t="str">
        <f aca="false">_xlfn.CONCAT(Atakapa_Parsed_Corpus[[#This Row],[Gloss.2]],"    ",Atakapa_Parsed_Corpus[[#This Row],[Gloss.4]])</f>
        <v>PN        jail-LOC put.in-3PLS-PRET be.strong-ADV    3STATS-drink-CAUSE</v>
      </c>
      <c r="J69" s="0" t="s">
        <v>422</v>
      </c>
      <c r="K69" s="3" t="s">
        <v>423</v>
      </c>
    </row>
    <row r="70" customFormat="false" ht="15" hidden="false" customHeight="false" outlineLevel="0" collapsed="false">
      <c r="A70" s="0" t="n">
        <v>84</v>
      </c>
      <c r="B70" s="0" t="s">
        <v>424</v>
      </c>
      <c r="C70" s="0" t="s">
        <v>425</v>
      </c>
      <c r="D70" s="0" t="s">
        <v>426</v>
      </c>
      <c r="E70" s="0" t="s">
        <v>427</v>
      </c>
      <c r="H70" s="0" t="str">
        <f aca="false">_xlfn.CONCAT(Atakapa_Parsed_Corpus[[#This Row],[Gloss.1]],"    ",Atakapa_Parsed_Corpus[[#This Row],[Gloss.3]])</f>
        <v>kica·k    am-ne     ø-tol-hah    </v>
      </c>
      <c r="I70" s="0" t="str">
        <f aca="false">_xlfn.CONCAT(Atakapa_Parsed_Corpus[[#This Row],[Gloss.2]],"    ",Atakapa_Parsed_Corpus[[#This Row],[Gloss.4]])</f>
        <v>whiskey   drink-GER 3STATS-be.good-NEG    </v>
      </c>
      <c r="J70" s="0" t="s">
        <v>428</v>
      </c>
      <c r="K70" s="3" t="s">
        <v>429</v>
      </c>
    </row>
    <row r="71" customFormat="false" ht="15" hidden="false" customHeight="false" outlineLevel="0" collapsed="false">
      <c r="A71" s="0" t="n">
        <v>85</v>
      </c>
      <c r="B71" s="0" t="s">
        <v>430</v>
      </c>
      <c r="C71" s="0" t="s">
        <v>431</v>
      </c>
      <c r="D71" s="0" t="s">
        <v>432</v>
      </c>
      <c r="E71" s="0" t="s">
        <v>433</v>
      </c>
      <c r="H71" s="0" t="str">
        <f aca="false">_xlfn.CONCAT(Atakapa_Parsed_Corpus[[#This Row],[Gloss.1]],"    ",Atakapa_Parsed_Corpus[[#This Row],[Gloss.3]])</f>
        <v>punš-ne   ka-o    </v>
      </c>
      <c r="I71" s="0" t="str">
        <f aca="false">_xlfn.CONCAT(Atakapa_Parsed_Corpus[[#This Row],[Gloss.2]],"    ",Atakapa_Parsed_Corpus[[#This Row],[Gloss.4]])</f>
        <v>blow-GER  make-1SS    </v>
      </c>
      <c r="J71" s="0" t="s">
        <v>434</v>
      </c>
      <c r="K71" s="3" t="s">
        <v>435</v>
      </c>
    </row>
    <row r="72" customFormat="false" ht="15" hidden="false" customHeight="false" outlineLevel="0" collapsed="false">
      <c r="A72" s="0" t="n">
        <v>86</v>
      </c>
      <c r="C72" s="0" t="s">
        <v>436</v>
      </c>
      <c r="D72" s="0" t="s">
        <v>437</v>
      </c>
      <c r="E72" s="0" t="s">
        <v>438</v>
      </c>
      <c r="H72" s="0" t="str">
        <f aca="false">_xlfn.CONCAT(Atakapa_Parsed_Corpus[[#This Row],[Gloss.1]],"    ",Atakapa_Parsed_Corpus[[#This Row],[Gloss.3]])</f>
        <v>nima-n    ø-kohš-hah-ul-at    </v>
      </c>
      <c r="I72" s="0" t="str">
        <f aca="false">_xlfn.CONCAT(Atakapa_Parsed_Corpus[[#This Row],[Gloss.2]],"    ",Atakapa_Parsed_Corpus[[#This Row],[Gloss.4]])</f>
        <v>kill-GER  3STATS-want-NEG-3PLS-PRET    </v>
      </c>
      <c r="J72" s="0" t="s">
        <v>439</v>
      </c>
      <c r="K72" s="3" t="s">
        <v>440</v>
      </c>
    </row>
    <row r="73" customFormat="false" ht="15" hidden="false" customHeight="false" outlineLevel="0" collapsed="false">
      <c r="A73" s="0" t="n">
        <v>87</v>
      </c>
      <c r="B73" s="0" t="s">
        <v>441</v>
      </c>
      <c r="C73" s="0" t="s">
        <v>442</v>
      </c>
      <c r="D73" s="0" t="s">
        <v>443</v>
      </c>
      <c r="E73" s="0" t="s">
        <v>444</v>
      </c>
      <c r="H73" s="0" t="str">
        <f aca="false">_xlfn.CONCAT(Atakapa_Parsed_Corpus[[#This Row],[Gloss.1]],"    ",Atakapa_Parsed_Corpus[[#This Row],[Gloss.3]])</f>
        <v>paknaw-waŋ-ne  n-hi-oŋš    </v>
      </c>
      <c r="I73" s="0" t="str">
        <f aca="false">_xlfn.CONCAT(Atakapa_Parsed_Corpus[[#This Row],[Gloss.2]],"    ",Atakapa_Parsed_Corpus[[#This Row],[Gloss.4]])</f>
        <v>run-go.about-GER 2SO-1SSTATS-not.to.want    </v>
      </c>
      <c r="J73" s="0" t="s">
        <v>445</v>
      </c>
      <c r="K73" s="3" t="s">
        <v>446</v>
      </c>
    </row>
    <row r="74" customFormat="false" ht="15" hidden="false" customHeight="false" outlineLevel="0" collapsed="false">
      <c r="A74" s="0" t="n">
        <v>89</v>
      </c>
      <c r="B74" s="0" t="s">
        <v>447</v>
      </c>
      <c r="C74" s="0" t="s">
        <v>448</v>
      </c>
      <c r="D74" s="0" t="s">
        <v>449</v>
      </c>
      <c r="E74" s="0" t="s">
        <v>450</v>
      </c>
      <c r="H74" s="0" t="str">
        <f aca="false">_xlfn.CONCAT(Atakapa_Parsed_Corpus[[#This Row],[Gloss.1]],"    ",Atakapa_Parsed_Corpus[[#This Row],[Gloss.3]])</f>
        <v>ke·t-ne   nam-cel   tiš-hahš-ne    </v>
      </c>
      <c r="I74" s="0" t="str">
        <f aca="false">_xlfn.CONCAT(Atakapa_Parsed_Corpus[[#This Row],[Gloss.2]],"    ",Atakapa_Parsed_Corpus[[#This Row],[Gloss.4]])</f>
        <v>stay-GER  beg-1PLS  go(sg)-NEG-GER    </v>
      </c>
      <c r="J74" s="0" t="s">
        <v>451</v>
      </c>
      <c r="K74" s="3" t="s">
        <v>452</v>
      </c>
    </row>
    <row r="75" customFormat="false" ht="15" hidden="false" customHeight="false" outlineLevel="0" collapsed="false">
      <c r="A75" s="0" t="n">
        <v>90</v>
      </c>
      <c r="B75" s="0" t="s">
        <v>130</v>
      </c>
      <c r="C75" s="0" t="s">
        <v>131</v>
      </c>
      <c r="D75" s="0" t="s">
        <v>132</v>
      </c>
      <c r="E75" s="0" t="s">
        <v>133</v>
      </c>
      <c r="H75" s="0" t="str">
        <f aca="false">_xlfn.CONCAT(Atakapa_Parsed_Corpus[[#This Row],[Gloss.1]],"    ",Atakapa_Parsed_Corpus[[#This Row],[Gloss.3]])</f>
        <v>aŋicon    itolš-o   n̥-ke·t-ne          yukit aŋ-kin    </v>
      </c>
      <c r="I75" s="0" t="str">
        <f aca="false">_xlfn.CONCAT(Atakapa_Parsed_Corpus[[#This Row],[Gloss.2]],"    ",Atakapa_Parsed_Corpus[[#This Row],[Gloss.4]])</f>
        <v>room      prepare-1SS 2SSTATS-stay-GER  our  house-LOC    </v>
      </c>
      <c r="J75" s="0" t="s">
        <v>134</v>
      </c>
      <c r="K75" s="3" t="s">
        <v>453</v>
      </c>
    </row>
    <row r="76" customFormat="false" ht="15" hidden="false" customHeight="false" outlineLevel="0" collapsed="false">
      <c r="A76" s="0" t="n">
        <v>91</v>
      </c>
      <c r="B76" s="0" t="s">
        <v>454</v>
      </c>
      <c r="C76" s="0" t="s">
        <v>455</v>
      </c>
      <c r="D76" s="0" t="s">
        <v>456</v>
      </c>
      <c r="E76" s="0" t="s">
        <v>457</v>
      </c>
      <c r="H76" s="0" t="str">
        <f aca="false">_xlfn.CONCAT(Atakapa_Parsed_Corpus[[#This Row],[Gloss.1]],"    ",Atakapa_Parsed_Corpus[[#This Row],[Gloss.3]])</f>
        <v>canuk     ø-miš-at       péni-ne    </v>
      </c>
      <c r="I76" s="0" t="str">
        <f aca="false">_xlfn.CONCAT(Atakapa_Parsed_Corpus[[#This Row],[Gloss.2]],"    ",Atakapa_Parsed_Corpus[[#This Row],[Gloss.4]])</f>
        <v>horse     3SO-give-PRET  cure-GER    </v>
      </c>
      <c r="J76" s="0" t="s">
        <v>458</v>
      </c>
      <c r="K76" s="3" t="s">
        <v>459</v>
      </c>
    </row>
    <row r="77" customFormat="false" ht="15" hidden="false" customHeight="false" outlineLevel="0" collapsed="false">
      <c r="A77" s="0" t="n">
        <v>93</v>
      </c>
      <c r="B77" s="0" t="s">
        <v>460</v>
      </c>
      <c r="C77" s="0" t="s">
        <v>461</v>
      </c>
      <c r="D77" s="0" t="s">
        <v>462</v>
      </c>
      <c r="E77" s="0" t="s">
        <v>463</v>
      </c>
      <c r="H77" s="0" t="str">
        <f aca="false">_xlfn.CONCAT(Atakapa_Parsed_Corpus[[#This Row],[Gloss.1]],"    ",Atakapa_Parsed_Corpus[[#This Row],[Gloss.3]])</f>
        <v>hop  naw-ul-at      šo   hitah-ne    </v>
      </c>
      <c r="I77" s="0" t="str">
        <f aca="false">_xlfn.CONCAT(Atakapa_Parsed_Corpus[[#This Row],[Gloss.2]],"    ",Atakapa_Parsed_Corpus[[#This Row],[Gloss.4]])</f>
        <v>hole leave-3PLS-PRET soul come.out-GER    </v>
      </c>
      <c r="J77" s="0" t="s">
        <v>464</v>
      </c>
      <c r="K77" s="3" t="s">
        <v>465</v>
      </c>
    </row>
    <row r="78" customFormat="false" ht="15" hidden="false" customHeight="false" outlineLevel="0" collapsed="false">
      <c r="A78" s="0" t="n">
        <v>94</v>
      </c>
      <c r="B78" s="0" t="s">
        <v>466</v>
      </c>
      <c r="C78" s="0" t="s">
        <v>467</v>
      </c>
      <c r="D78" s="0" t="s">
        <v>468</v>
      </c>
      <c r="E78" s="0" t="s">
        <v>469</v>
      </c>
      <c r="H78" s="0" t="str">
        <f aca="false">_xlfn.CONCAT(Atakapa_Parsed_Corpus[[#This Row],[Gloss.1]],"    ",Atakapa_Parsed_Corpus[[#This Row],[Gloss.3]])</f>
        <v>iša·k     iša·t ha·n          hu-ul-at    </v>
      </c>
      <c r="I78" s="0" t="str">
        <f aca="false">_xlfn.CONCAT(Atakapa_Parsed_Corpus[[#This Row],[Gloss.2]],"    ",Atakapa_Parsed_Corpus[[#This Row],[Gloss.4]])</f>
        <v>person    head not.to.have(GER) see-3PLS-PRET    </v>
      </c>
      <c r="J78" s="0" t="s">
        <v>470</v>
      </c>
      <c r="K78" s="3" t="s">
        <v>471</v>
      </c>
    </row>
    <row r="79" customFormat="false" ht="15" hidden="false" customHeight="false" outlineLevel="0" collapsed="false">
      <c r="A79" s="0" t="n">
        <v>95</v>
      </c>
      <c r="B79" s="0" t="s">
        <v>472</v>
      </c>
      <c r="C79" s="0" t="s">
        <v>473</v>
      </c>
      <c r="D79" s="0" t="s">
        <v>474</v>
      </c>
      <c r="E79" s="0" t="s">
        <v>475</v>
      </c>
      <c r="H79" s="0" t="str">
        <f aca="false">_xlfn.CONCAT(Atakapa_Parsed_Corpus[[#This Row],[Gloss.1]],"    ",Atakapa_Parsed_Corpus[[#This Row],[Gloss.3]])</f>
        <v>ša·kšo    hi-lohiš-ne    ha·n    </v>
      </c>
      <c r="I79" s="0" t="str">
        <f aca="false">_xlfn.CONCAT(Atakapa_Parsed_Corpus[[#This Row],[Gloss.2]],"    ",Atakapa_Parsed_Corpus[[#This Row],[Gloss.4]])</f>
        <v>someone   1SO-help-GER   not.to.have(GER)    </v>
      </c>
      <c r="J79" s="0" t="s">
        <v>476</v>
      </c>
      <c r="K79" s="3" t="s">
        <v>477</v>
      </c>
    </row>
    <row r="80" customFormat="false" ht="15" hidden="false" customHeight="false" outlineLevel="0" collapsed="false">
      <c r="A80" s="0" t="n">
        <v>96</v>
      </c>
      <c r="B80" s="0" t="s">
        <v>478</v>
      </c>
      <c r="C80" s="0" t="s">
        <v>479</v>
      </c>
      <c r="D80" s="0" t="s">
        <v>480</v>
      </c>
      <c r="E80" s="0" t="s">
        <v>481</v>
      </c>
      <c r="H80" s="0" t="str">
        <f aca="false">_xlfn.CONCAT(Atakapa_Parsed_Corpus[[#This Row],[Gloss.1]],"    ",Atakapa_Parsed_Corpus[[#This Row],[Gloss.3]])</f>
        <v>hakit šak-yikš-ta   ok-ul-at    </v>
      </c>
      <c r="I80" s="0" t="str">
        <f aca="false">_xlfn.CONCAT(Atakapa_Parsed_Corpus[[#This Row],[Gloss.2]],"    ",Atakapa_Parsed_Corpus[[#This Row],[Gloss.4]])</f>
        <v>they 3PLO-buy-PCPL  come-3PLS-PRET    </v>
      </c>
      <c r="J80" s="0" t="s">
        <v>482</v>
      </c>
      <c r="K80" s="3" t="s">
        <v>483</v>
      </c>
    </row>
    <row r="81" customFormat="false" ht="15" hidden="false" customHeight="false" outlineLevel="0" collapsed="false">
      <c r="A81" s="0" t="n">
        <v>97</v>
      </c>
      <c r="B81" s="0" t="s">
        <v>484</v>
      </c>
      <c r="C81" s="0" t="s">
        <v>485</v>
      </c>
      <c r="D81" s="0" t="s">
        <v>486</v>
      </c>
      <c r="E81" s="0" t="s">
        <v>487</v>
      </c>
      <c r="H81" s="0" t="str">
        <f aca="false">_xlfn.CONCAT(Atakapa_Parsed_Corpus[[#This Row],[Gloss.1]],"    ",Atakapa_Parsed_Corpus[[#This Row],[Gloss.3]])</f>
        <v>šak-ikom-ta    ok-o    </v>
      </c>
      <c r="I81" s="0" t="str">
        <f aca="false">_xlfn.CONCAT(Atakapa_Parsed_Corpus[[#This Row],[Gloss.2]],"    ",Atakapa_Parsed_Corpus[[#This Row],[Gloss.4]])</f>
        <v>3PLO-fish-PCPL come-1SS    </v>
      </c>
      <c r="J81" s="0" t="s">
        <v>488</v>
      </c>
      <c r="K81" s="3" t="s">
        <v>489</v>
      </c>
    </row>
    <row r="82" customFormat="false" ht="15" hidden="false" customHeight="false" outlineLevel="0" collapsed="false">
      <c r="A82" s="0" t="n">
        <v>98</v>
      </c>
      <c r="B82" s="0" t="s">
        <v>490</v>
      </c>
      <c r="C82" s="0" t="s">
        <v>491</v>
      </c>
      <c r="D82" s="0" t="s">
        <v>492</v>
      </c>
      <c r="E82" s="0" t="s">
        <v>493</v>
      </c>
      <c r="H82" s="0" t="str">
        <f aca="false">_xlfn.CONCAT(Atakapa_Parsed_Corpus[[#This Row],[Gloss.1]],"    ",Atakapa_Parsed_Corpus[[#This Row],[Gloss.3]])</f>
        <v>yil  pahw      n̥-yaw-ta           n̥-ok-ne    </v>
      </c>
      <c r="I82" s="0" t="str">
        <f aca="false">_xlfn.CONCAT(Atakapa_Parsed_Corpus[[#This Row],[Gloss.2]],"    ",Atakapa_Parsed_Corpus[[#This Row],[Gloss.4]])</f>
        <v>day  seven     2SOBJ-wait.for-PCPL 2SSTATS-come-GER    </v>
      </c>
      <c r="J82" s="0" t="s">
        <v>494</v>
      </c>
      <c r="K82" s="3" t="s">
        <v>495</v>
      </c>
    </row>
    <row r="83" customFormat="false" ht="15" hidden="false" customHeight="false" outlineLevel="0" collapsed="false">
      <c r="A83" s="0" t="n">
        <v>99</v>
      </c>
      <c r="C83" s="0" t="s">
        <v>496</v>
      </c>
      <c r="D83" s="0" t="s">
        <v>497</v>
      </c>
      <c r="E83" s="0" t="s">
        <v>498</v>
      </c>
      <c r="H83" s="0" t="str">
        <f aca="false">_xlfn.CONCAT(Atakapa_Parsed_Corpus[[#This Row],[Gloss.1]],"    ",Atakapa_Parsed_Corpus[[#This Row],[Gloss.3]])</f>
        <v>wi   nuŋuš-kin ke·t-ta    </v>
      </c>
      <c r="I83" s="0" t="str">
        <f aca="false">_xlfn.CONCAT(Atakapa_Parsed_Corpus[[#This Row],[Gloss.2]],"    ",Atakapa_Parsed_Corpus[[#This Row],[Gloss.4]])</f>
        <v>I    city-LOC  stay-PCPL    </v>
      </c>
      <c r="J83" s="0" t="s">
        <v>499</v>
      </c>
      <c r="K83" s="3" t="s">
        <v>500</v>
      </c>
    </row>
    <row r="84" customFormat="false" ht="15" hidden="false" customHeight="false" outlineLevel="0" collapsed="false">
      <c r="A84" s="0" t="n">
        <v>100</v>
      </c>
      <c r="B84" s="0" t="s">
        <v>501</v>
      </c>
      <c r="C84" s="0" t="s">
        <v>502</v>
      </c>
      <c r="D84" s="0" t="s">
        <v>503</v>
      </c>
      <c r="E84" s="0" t="s">
        <v>504</v>
      </c>
      <c r="H84" s="0" t="str">
        <f aca="false">_xlfn.CONCAT(Atakapa_Parsed_Corpus[[#This Row],[Gloss.1]],"    ",Atakapa_Parsed_Corpus[[#This Row],[Gloss.3]])</f>
        <v>ne·mak    oc-ip     tiš-ta    wi   ite·t     tiwe·-ta    </v>
      </c>
      <c r="I84" s="0" t="str">
        <f aca="false">_xlfn.CONCAT(Atakapa_Parsed_Corpus[[#This Row],[Gloss.2]],"    ",Atakapa_Parsed_Corpus[[#This Row],[Gloss.4]])</f>
        <v>mountain  on-INESS  go(sg)-PCPL my father    be.with-PCPL    </v>
      </c>
      <c r="J84" s="0" t="s">
        <v>505</v>
      </c>
      <c r="K84" s="3" t="s">
        <v>506</v>
      </c>
    </row>
    <row r="85" customFormat="false" ht="15" hidden="false" customHeight="false" outlineLevel="0" collapsed="false">
      <c r="A85" s="0" t="n">
        <v>101</v>
      </c>
      <c r="B85" s="0" t="s">
        <v>507</v>
      </c>
      <c r="C85" s="0" t="s">
        <v>508</v>
      </c>
      <c r="D85" s="0" t="s">
        <v>509</v>
      </c>
      <c r="E85" s="0" t="s">
        <v>510</v>
      </c>
      <c r="H85" s="0" t="str">
        <f aca="false">_xlfn.CONCAT(Atakapa_Parsed_Corpus[[#This Row],[Gloss.1]],"    ",Atakapa_Parsed_Corpus[[#This Row],[Gloss.3]])</f>
        <v>makaw-hahš-ta    </v>
      </c>
      <c r="I85" s="0" t="str">
        <f aca="false">_xlfn.CONCAT(Atakapa_Parsed_Corpus[[#This Row],[Gloss.2]],"    ",Atakapa_Parsed_Corpus[[#This Row],[Gloss.4]])</f>
        <v>fall(sg)-NEG-PCPL    </v>
      </c>
      <c r="J85" s="0" t="s">
        <v>511</v>
      </c>
      <c r="K85" s="3" t="s">
        <v>512</v>
      </c>
    </row>
    <row r="86" customFormat="false" ht="15" hidden="false" customHeight="false" outlineLevel="0" collapsed="false">
      <c r="A86" s="0" t="n">
        <v>102</v>
      </c>
      <c r="B86" s="0" t="s">
        <v>513</v>
      </c>
      <c r="C86" s="0" t="s">
        <v>514</v>
      </c>
      <c r="D86" s="0" t="s">
        <v>515</v>
      </c>
      <c r="E86" s="0" t="s">
        <v>516</v>
      </c>
      <c r="H86" s="0" t="str">
        <f aca="false">_xlfn.CONCAT(Atakapa_Parsed_Corpus[[#This Row],[Gloss.1]],"    ",Atakapa_Parsed_Corpus[[#This Row],[Gloss.3]])</f>
        <v>a-yil     kawkaw-kit     hi-ilakc    </v>
      </c>
      <c r="I86" s="0" t="str">
        <f aca="false">_xlfn.CONCAT(Atakapa_Parsed_Corpus[[#This Row],[Gloss.2]],"    ",Atakapa_Parsed_Corpus[[#This Row],[Gloss.4]])</f>
        <v>this-day  rain-PROG(SG)  1SSTATS-be.bored/lazy    </v>
      </c>
      <c r="J86" s="0" t="s">
        <v>517</v>
      </c>
      <c r="K86" s="3" t="s">
        <v>518</v>
      </c>
    </row>
    <row r="87" customFormat="false" ht="15" hidden="false" customHeight="false" outlineLevel="0" collapsed="false">
      <c r="A87" s="0" t="n">
        <v>103</v>
      </c>
      <c r="B87" s="0" t="s">
        <v>519</v>
      </c>
      <c r="C87" s="0" t="s">
        <v>520</v>
      </c>
      <c r="D87" s="0" t="s">
        <v>521</v>
      </c>
      <c r="E87" s="0" t="s">
        <v>522</v>
      </c>
      <c r="H87" s="0" t="str">
        <f aca="false">_xlfn.CONCAT(Atakapa_Parsed_Corpus[[#This Row],[Gloss.1]],"    ",Atakapa_Parsed_Corpus[[#This Row],[Gloss.3]])</f>
        <v>n̥-pect        a    </v>
      </c>
      <c r="I87" s="0" t="str">
        <f aca="false">_xlfn.CONCAT(Atakapa_Parsed_Corpus[[#This Row],[Gloss.2]],"    ",Atakapa_Parsed_Corpus[[#This Row],[Gloss.4]])</f>
        <v>2SSTATS-be.tired(sg) Q    </v>
      </c>
      <c r="J87" s="0" t="s">
        <v>523</v>
      </c>
      <c r="K87" s="3" t="s">
        <v>524</v>
      </c>
    </row>
    <row r="88" customFormat="false" ht="15" hidden="false" customHeight="false" outlineLevel="0" collapsed="false">
      <c r="A88" s="0" t="n">
        <v>104</v>
      </c>
      <c r="B88" s="0" t="s">
        <v>525</v>
      </c>
      <c r="C88" s="0" t="s">
        <v>526</v>
      </c>
      <c r="D88" s="0" t="s">
        <v>527</v>
      </c>
      <c r="E88" s="0" t="s">
        <v>528</v>
      </c>
      <c r="H88" s="0" t="str">
        <f aca="false">_xlfn.CONCAT(Atakapa_Parsed_Corpus[[#This Row],[Gloss.1]],"    ",Atakapa_Parsed_Corpus[[#This Row],[Gloss.3]])</f>
        <v>kucnan    nak-ke         a    </v>
      </c>
      <c r="I88" s="0" t="str">
        <f aca="false">_xlfn.CONCAT(Atakapa_Parsed_Corpus[[#This Row],[Gloss.2]],"    ",Atakapa_Parsed_Corpus[[#This Row],[Gloss.4]])</f>
        <v>knife     2PLSTATS-have  Q    </v>
      </c>
      <c r="J88" s="0" t="s">
        <v>529</v>
      </c>
      <c r="K88" s="3" t="s">
        <v>530</v>
      </c>
    </row>
    <row r="89" customFormat="false" ht="15" hidden="false" customHeight="false" outlineLevel="0" collapsed="false">
      <c r="A89" s="0" t="n">
        <v>106</v>
      </c>
      <c r="B89" s="0" t="s">
        <v>277</v>
      </c>
      <c r="C89" s="0" t="s">
        <v>531</v>
      </c>
      <c r="D89" s="0" t="s">
        <v>279</v>
      </c>
      <c r="E89" s="0" t="s">
        <v>280</v>
      </c>
      <c r="H89" s="0" t="str">
        <f aca="false">_xlfn.CONCAT(Atakapa_Parsed_Corpus[[#This Row],[Gloss.1]],"    ",Atakapa_Parsed_Corpus[[#This Row],[Gloss.3]])</f>
        <v>hal  hi-waŋ-tikit-hah    </v>
      </c>
      <c r="I89" s="0" t="str">
        <f aca="false">_xlfn.CONCAT(Atakapa_Parsed_Corpus[[#This Row],[Gloss.2]],"    ",Atakapa_Parsed_Corpus[[#This Row],[Gloss.4]])</f>
        <v>again 1SSTATS-walk-FUT-NEG    </v>
      </c>
      <c r="J89" s="0" t="s">
        <v>281</v>
      </c>
      <c r="K89" s="3" t="s">
        <v>532</v>
      </c>
    </row>
    <row r="90" customFormat="false" ht="15" hidden="false" customHeight="false" outlineLevel="0" collapsed="false">
      <c r="A90" s="0" t="n">
        <v>107</v>
      </c>
      <c r="B90" s="0" t="s">
        <v>533</v>
      </c>
      <c r="C90" s="0" t="s">
        <v>534</v>
      </c>
      <c r="D90" s="0" t="s">
        <v>535</v>
      </c>
      <c r="E90" s="0" t="s">
        <v>536</v>
      </c>
      <c r="H90" s="0" t="str">
        <f aca="false">_xlfn.CONCAT(Atakapa_Parsed_Corpus[[#This Row],[Gloss.1]],"    ",Atakapa_Parsed_Corpus[[#This Row],[Gloss.3]])</f>
        <v>itiyilš hi-hu-kit-hah    </v>
      </c>
      <c r="I90" s="0" t="str">
        <f aca="false">_xlfn.CONCAT(Atakapa_Parsed_Corpus[[#This Row],[Gloss.2]],"    ",Atakapa_Parsed_Corpus[[#This Row],[Gloss.4]])</f>
        <v>moon 1SSTATS-see-PROG(SG)-NEG    </v>
      </c>
      <c r="J90" s="0" t="s">
        <v>537</v>
      </c>
      <c r="K90" s="3" t="s">
        <v>538</v>
      </c>
    </row>
    <row r="91" customFormat="false" ht="15" hidden="false" customHeight="false" outlineLevel="0" collapsed="false">
      <c r="A91" s="0" t="n">
        <v>108</v>
      </c>
      <c r="B91" s="0" t="s">
        <v>539</v>
      </c>
      <c r="C91" s="0" t="s">
        <v>540</v>
      </c>
      <c r="D91" s="0" t="s">
        <v>541</v>
      </c>
      <c r="E91" s="0" t="s">
        <v>542</v>
      </c>
      <c r="H91" s="0" t="str">
        <f aca="false">_xlfn.CONCAT(Atakapa_Parsed_Corpus[[#This Row],[Gloss.1]],"    ",Atakapa_Parsed_Corpus[[#This Row],[Gloss.3]])</f>
        <v>tan-hew        šak-inawš-kohš-hah-ul-at    </v>
      </c>
      <c r="I91" s="0" t="str">
        <f aca="false">_xlfn.CONCAT(Atakapa_Parsed_Corpus[[#This Row],[Gloss.2]],"    ",Atakapa_Parsed_Corpus[[#This Row],[Gloss.4]])</f>
        <v>other-PL       3PLOBJ-enter-DESID-NEG-3PLS-PRET    </v>
      </c>
      <c r="J91" s="0" t="s">
        <v>543</v>
      </c>
      <c r="K91" s="3" t="s">
        <v>544</v>
      </c>
    </row>
    <row r="92" customFormat="false" ht="15" hidden="false" customHeight="false" outlineLevel="0" collapsed="false">
      <c r="A92" s="0" t="n">
        <v>109</v>
      </c>
      <c r="B92" s="0" t="s">
        <v>545</v>
      </c>
      <c r="C92" s="0" t="s">
        <v>546</v>
      </c>
      <c r="D92" s="0" t="s">
        <v>547</v>
      </c>
      <c r="E92" s="0" t="s">
        <v>548</v>
      </c>
      <c r="H92" s="0" t="str">
        <f aca="false">_xlfn.CONCAT(Atakapa_Parsed_Corpus[[#This Row],[Gloss.1]],"    ",Atakapa_Parsed_Corpus[[#This Row],[Gloss.3]])</f>
        <v>iša·k     šak-pihk-ø     šak-lawi-ul-hah-at    </v>
      </c>
      <c r="I92" s="0" t="str">
        <f aca="false">_xlfn.CONCAT(Atakapa_Parsed_Corpus[[#This Row],[Gloss.2]],"    ",Atakapa_Parsed_Corpus[[#This Row],[Gloss.4]])</f>
        <v>person    PL-die(pl)-ABS 3PLOBJ-BURN-3PLS-NEG-PRET    </v>
      </c>
      <c r="J92" s="0" t="s">
        <v>549</v>
      </c>
      <c r="K92" s="3" t="s">
        <v>550</v>
      </c>
    </row>
    <row r="93" customFormat="false" ht="15" hidden="false" customHeight="false" outlineLevel="0" collapsed="false">
      <c r="A93" s="0" t="n">
        <v>111</v>
      </c>
      <c r="B93" s="0" t="s">
        <v>551</v>
      </c>
      <c r="C93" s="0" t="s">
        <v>552</v>
      </c>
      <c r="D93" s="0" t="s">
        <v>553</v>
      </c>
      <c r="E93" s="0" t="s">
        <v>554</v>
      </c>
      <c r="H93" s="0" t="str">
        <f aca="false">_xlfn.CONCAT(Atakapa_Parsed_Corpus[[#This Row],[Gloss.1]],"    ",Atakapa_Parsed_Corpus[[#This Row],[Gloss.3]])</f>
        <v>wi   kawkaw    hi-hahš    </v>
      </c>
      <c r="I93" s="0" t="str">
        <f aca="false">_xlfn.CONCAT(Atakapa_Parsed_Corpus[[#This Row],[Gloss.2]],"    ",Atakapa_Parsed_Corpus[[#This Row],[Gloss.4]])</f>
        <v>I    water     1SSTATS-not.have    </v>
      </c>
      <c r="J93" s="0" t="s">
        <v>555</v>
      </c>
      <c r="K93" s="3" t="s">
        <v>556</v>
      </c>
    </row>
    <row r="94" customFormat="false" ht="15" hidden="false" customHeight="false" outlineLevel="0" collapsed="false">
      <c r="A94" s="0" t="n">
        <v>112</v>
      </c>
      <c r="B94" s="0" t="s">
        <v>557</v>
      </c>
      <c r="C94" s="0" t="s">
        <v>558</v>
      </c>
      <c r="D94" s="0" t="s">
        <v>559</v>
      </c>
      <c r="E94" s="0" t="s">
        <v>560</v>
      </c>
      <c r="H94" s="0" t="str">
        <f aca="false">_xlfn.CONCAT(Atakapa_Parsed_Corpus[[#This Row],[Gloss.1]],"    ",Atakapa_Parsed_Corpus[[#This Row],[Gloss.3]])</f>
        <v>šak-tal-koh     yukhiti  iša·k kaw ha   tal  ø-koh-at    </v>
      </c>
      <c r="I94" s="0" t="str">
        <f aca="false">_xlfn.CONCAT(Atakapa_Parsed_Corpus[[#This Row],[Gloss.2]],"    ",Atakapa_Parsed_Corpus[[#This Row],[Gloss.4]])</f>
        <v>person-skin-wanter Indian person dead his skin 3STATS-want-PRET    </v>
      </c>
      <c r="J94" s="0" t="s">
        <v>561</v>
      </c>
      <c r="K94" s="3" t="s">
        <v>562</v>
      </c>
    </row>
    <row r="95" customFormat="false" ht="15" hidden="false" customHeight="false" outlineLevel="0" collapsed="false">
      <c r="A95" s="0" t="n">
        <v>113</v>
      </c>
      <c r="B95" s="0" t="s">
        <v>563</v>
      </c>
      <c r="C95" s="0" t="s">
        <v>564</v>
      </c>
      <c r="D95" s="0" t="s">
        <v>565</v>
      </c>
      <c r="E95" s="0" t="s">
        <v>566</v>
      </c>
      <c r="H95" s="0" t="str">
        <f aca="false">_xlfn.CONCAT(Atakapa_Parsed_Corpus[[#This Row],[Gloss.1]],"    ",Atakapa_Parsed_Corpus[[#This Row],[Gloss.3]])</f>
        <v>wi   ite·t hi-ok-ne      ø-oŋš    </v>
      </c>
      <c r="I95" s="0" t="str">
        <f aca="false">_xlfn.CONCAT(Atakapa_Parsed_Corpus[[#This Row],[Gloss.2]],"    ",Atakapa_Parsed_Corpus[[#This Row],[Gloss.4]])</f>
        <v>my   father 1SSTATS-come-GER 3STATS-not.want    </v>
      </c>
      <c r="J95" s="0" t="s">
        <v>567</v>
      </c>
      <c r="K95" s="3" t="s">
        <v>568</v>
      </c>
    </row>
    <row r="96" customFormat="false" ht="15" hidden="false" customHeight="false" outlineLevel="0" collapsed="false">
      <c r="A96" s="0" t="n">
        <v>114</v>
      </c>
      <c r="B96" s="0" t="s">
        <v>569</v>
      </c>
      <c r="C96" s="0" t="s">
        <v>570</v>
      </c>
      <c r="D96" s="0" t="s">
        <v>571</v>
      </c>
      <c r="E96" s="0" t="s">
        <v>572</v>
      </c>
      <c r="H96" s="0" t="str">
        <f aca="false">_xlfn.CONCAT(Atakapa_Parsed_Corpus[[#This Row],[Gloss.1]],"    ",Atakapa_Parsed_Corpus[[#This Row],[Gloss.3]])</f>
        <v>šok-hew   šak-wanc  ø-uhc-at    </v>
      </c>
      <c r="I96" s="0" t="str">
        <f aca="false">_xlfn.CONCAT(Atakapa_Parsed_Corpus[[#This Row],[Gloss.2]],"    ",Atakapa_Parsed_Corpus[[#This Row],[Gloss.4]])</f>
        <v>thing-many 3PLO-tell 3STATS-be.able-PRET    </v>
      </c>
      <c r="J96" s="0" t="s">
        <v>573</v>
      </c>
      <c r="K96" s="3" t="s">
        <v>574</v>
      </c>
    </row>
    <row r="97" customFormat="false" ht="15" hidden="false" customHeight="false" outlineLevel="0" collapsed="false">
      <c r="A97" s="0" t="n">
        <v>115</v>
      </c>
      <c r="C97" s="0" t="s">
        <v>575</v>
      </c>
      <c r="D97" s="0" t="s">
        <v>576</v>
      </c>
      <c r="E97" s="0" t="s">
        <v>577</v>
      </c>
      <c r="H97" s="0" t="str">
        <f aca="false">_xlfn.CONCAT(Atakapa_Parsed_Corpus[[#This Row],[Gloss.1]],"    ",Atakapa_Parsed_Corpus[[#This Row],[Gloss.3]])</f>
        <v>nima-kohš ø-awš-ul-at    </v>
      </c>
      <c r="I97" s="0" t="str">
        <f aca="false">_xlfn.CONCAT(Atakapa_Parsed_Corpus[[#This Row],[Gloss.2]],"    ",Atakapa_Parsed_Corpus[[#This Row],[Gloss.4]])</f>
        <v>kill-DESID 3STATS-not.be.able-3PLS-PRET    </v>
      </c>
      <c r="J97" s="0" t="s">
        <v>578</v>
      </c>
      <c r="K97" s="3" t="s">
        <v>579</v>
      </c>
    </row>
    <row r="98" customFormat="false" ht="15" hidden="false" customHeight="false" outlineLevel="0" collapsed="false">
      <c r="A98" s="0" t="n">
        <v>116</v>
      </c>
      <c r="B98" s="0" t="s">
        <v>580</v>
      </c>
      <c r="C98" s="0" t="s">
        <v>581</v>
      </c>
      <c r="D98" s="0" t="s">
        <v>582</v>
      </c>
      <c r="E98" s="0" t="s">
        <v>583</v>
      </c>
      <c r="H98" s="0" t="str">
        <f aca="false">_xlfn.CONCAT(Atakapa_Parsed_Corpus[[#This Row],[Gloss.1]],"    ",Atakapa_Parsed_Corpus[[#This Row],[Gloss.3]])</f>
        <v>šokšo     hi-uhc-hah    </v>
      </c>
      <c r="I98" s="0" t="str">
        <f aca="false">_xlfn.CONCAT(Atakapa_Parsed_Corpus[[#This Row],[Gloss.2]],"    ",Atakapa_Parsed_Corpus[[#This Row],[Gloss.4]])</f>
        <v>anything  1SSTATS-know-NEG    </v>
      </c>
      <c r="J98" s="0" t="s">
        <v>584</v>
      </c>
      <c r="K98" s="3" t="s">
        <v>585</v>
      </c>
    </row>
    <row r="99" customFormat="false" ht="15" hidden="false" customHeight="false" outlineLevel="0" collapsed="false">
      <c r="A99" s="0" t="n">
        <v>117</v>
      </c>
      <c r="B99" s="0" t="s">
        <v>586</v>
      </c>
      <c r="C99" s="0" t="s">
        <v>587</v>
      </c>
      <c r="D99" s="0" t="s">
        <v>588</v>
      </c>
      <c r="E99" s="0" t="s">
        <v>589</v>
      </c>
      <c r="H99" s="0" t="str">
        <f aca="false">_xlfn.CONCAT(Atakapa_Parsed_Corpus[[#This Row],[Gloss.1]],"    ",Atakapa_Parsed_Corpus[[#This Row],[Gloss.3]])</f>
        <v>šiwan cum-hahš-ø    n̥-ø-caw-ehe    </v>
      </c>
      <c r="I99" s="0" t="str">
        <f aca="false">_xlfn.CONCAT(Atakapa_Parsed_Corpus[[#This Row],[Gloss.2]],"    ",Atakapa_Parsed_Corpus[[#This Row],[Gloss.4]])</f>
        <v>cat  pinch-NEG-2SIMP 2SOBJ-3STATS-bite-DUB    </v>
      </c>
      <c r="J99" s="0" t="s">
        <v>590</v>
      </c>
      <c r="K99" s="3" t="s">
        <v>591</v>
      </c>
    </row>
    <row r="100" customFormat="false" ht="15" hidden="false" customHeight="false" outlineLevel="0" collapsed="false">
      <c r="A100" s="0" t="n">
        <v>118</v>
      </c>
      <c r="B100" s="0" t="s">
        <v>592</v>
      </c>
      <c r="C100" s="0" t="s">
        <v>593</v>
      </c>
      <c r="D100" s="0" t="s">
        <v>594</v>
      </c>
      <c r="E100" s="0" t="s">
        <v>595</v>
      </c>
      <c r="H100" s="0" t="str">
        <f aca="false">_xlfn.CONCAT(Atakapa_Parsed_Corpus[[#This Row],[Gloss.1]],"    ",Atakapa_Parsed_Corpus[[#This Row],[Gloss.3]])</f>
        <v>hal       waŋ-hahš-n̥    o·l  iš-tiwe·-ok-ø    </v>
      </c>
      <c r="I100" s="0" t="str">
        <f aca="false">_xlfn.CONCAT(Atakapa_Parsed_Corpus[[#This Row],[Gloss.2]],"    ",Atakapa_Parsed_Corpus[[#This Row],[Gloss.4]])</f>
        <v>behind    go.about-NEG-2SIMP near 1PLSTATS-be.with-come-2SIMP    </v>
      </c>
      <c r="J100" s="0" t="s">
        <v>596</v>
      </c>
      <c r="K100" s="3" t="s">
        <v>597</v>
      </c>
    </row>
    <row r="101" customFormat="false" ht="15" hidden="false" customHeight="false" outlineLevel="0" collapsed="false">
      <c r="A101" s="0" t="n">
        <v>119</v>
      </c>
      <c r="B101" s="0" t="s">
        <v>598</v>
      </c>
      <c r="C101" s="0" t="s">
        <v>599</v>
      </c>
      <c r="D101" s="0" t="s">
        <v>600</v>
      </c>
      <c r="E101" s="0" t="s">
        <v>601</v>
      </c>
      <c r="H101" s="0" t="str">
        <f aca="false">_xlfn.CONCAT(Atakapa_Parsed_Corpus[[#This Row],[Gloss.1]],"    ",Atakapa_Parsed_Corpus[[#This Row],[Gloss.3]])</f>
        <v>iwš-hahš-n̥    </v>
      </c>
      <c r="I101" s="0" t="str">
        <f aca="false">_xlfn.CONCAT(Atakapa_Parsed_Corpus[[#This Row],[Gloss.2]],"    ",Atakapa_Parsed_Corpus[[#This Row],[Gloss.4]])</f>
        <v>be.angry    </v>
      </c>
      <c r="J101" s="0" t="s">
        <v>602</v>
      </c>
      <c r="K101" s="3" t="s">
        <v>603</v>
      </c>
    </row>
    <row r="102" customFormat="false" ht="15" hidden="false" customHeight="false" outlineLevel="0" collapsed="false">
      <c r="A102" s="0" t="n">
        <v>120</v>
      </c>
      <c r="B102" s="0" t="s">
        <v>604</v>
      </c>
      <c r="C102" s="0" t="s">
        <v>605</v>
      </c>
      <c r="D102" s="0" t="s">
        <v>606</v>
      </c>
      <c r="E102" s="0" t="s">
        <v>607</v>
      </c>
      <c r="H102" s="0" t="str">
        <f aca="false">_xlfn.CONCAT(Atakapa_Parsed_Corpus[[#This Row],[Gloss.1]],"    ",Atakapa_Parsed_Corpus[[#This Row],[Gloss.3]])</f>
        <v>ha   hilay šoke·š=ya ø-kaw-han-at    </v>
      </c>
      <c r="I102" s="0" t="str">
        <f aca="false">_xlfn.CONCAT(Atakapa_Parsed_Corpus[[#This Row],[Gloss.2]],"    ",Atakapa_Parsed_Corpus[[#This Row],[Gloss.4]])</f>
        <v>his  wife be.sick=and 3STATS-die(sg)-ALMOST    </v>
      </c>
      <c r="J102" s="0" t="s">
        <v>608</v>
      </c>
      <c r="K102" s="3" t="s">
        <v>609</v>
      </c>
    </row>
    <row r="103" customFormat="false" ht="15" hidden="false" customHeight="false" outlineLevel="0" collapsed="false">
      <c r="A103" s="0" t="n">
        <v>122</v>
      </c>
      <c r="B103" s="0" t="s">
        <v>610</v>
      </c>
      <c r="C103" s="0" t="s">
        <v>611</v>
      </c>
      <c r="D103" s="0" t="s">
        <v>612</v>
      </c>
      <c r="E103" s="0" t="s">
        <v>613</v>
      </c>
      <c r="H103" s="0" t="str">
        <f aca="false">_xlfn.CONCAT(Atakapa_Parsed_Corpus[[#This Row],[Gloss.1]],"    ",Atakapa_Parsed_Corpus[[#This Row],[Gloss.3]])</f>
        <v>eykun     hat-laš-haŋš-o    </v>
      </c>
      <c r="I103" s="0" t="str">
        <f aca="false">_xlfn.CONCAT(Atakapa_Parsed_Corpus[[#This Row],[Gloss.2]],"    ",Atakapa_Parsed_Corpus[[#This Row],[Gloss.4]])</f>
        <v>just.now  REFLEX-shave-COMPL-1SS    </v>
      </c>
      <c r="J103" s="0" t="s">
        <v>614</v>
      </c>
      <c r="K103" s="3" t="s">
        <v>615</v>
      </c>
    </row>
    <row r="104" customFormat="false" ht="15" hidden="false" customHeight="false" outlineLevel="0" collapsed="false">
      <c r="A104" s="0" t="n">
        <v>123</v>
      </c>
      <c r="B104" s="0" t="s">
        <v>616</v>
      </c>
      <c r="C104" s="0" t="s">
        <v>357</v>
      </c>
      <c r="D104" s="0" t="s">
        <v>617</v>
      </c>
      <c r="E104" s="0" t="s">
        <v>618</v>
      </c>
      <c r="H104" s="0" t="str">
        <f aca="false">_xlfn.CONCAT(Atakapa_Parsed_Corpus[[#This Row],[Gloss.1]],"    ",Atakapa_Parsed_Corpus[[#This Row],[Gloss.3]])</f>
        <v>šoka·k-haŋš-ti-n              himo·š-ul-at    </v>
      </c>
      <c r="I104" s="0" t="str">
        <f aca="false">_xlfn.CONCAT(Atakapa_Parsed_Corpus[[#This Row],[Gloss.2]],"    ",Atakapa_Parsed_Corpus[[#This Row],[Gloss.4]])</f>
        <v>ceremonial.dance-COMPL-PSTPROG-WHEN bury-3PLS-PRET    </v>
      </c>
      <c r="J104" s="0" t="s">
        <v>619</v>
      </c>
      <c r="K104" s="3" t="s">
        <v>620</v>
      </c>
    </row>
    <row r="105" customFormat="false" ht="15" hidden="false" customHeight="false" outlineLevel="0" collapsed="false">
      <c r="A105" s="0" t="n">
        <v>124</v>
      </c>
      <c r="B105" s="0" t="s">
        <v>621</v>
      </c>
      <c r="C105" s="0" t="s">
        <v>622</v>
      </c>
      <c r="D105" s="0" t="s">
        <v>623</v>
      </c>
      <c r="E105" s="0" t="s">
        <v>624</v>
      </c>
      <c r="H105" s="0" t="str">
        <f aca="false">_xlfn.CONCAT(Atakapa_Parsed_Corpus[[#This Row],[Gloss.1]],"    ",Atakapa_Parsed_Corpus[[#This Row],[Gloss.3]])</f>
        <v>hok-ø-inac-haŋš-kit    </v>
      </c>
      <c r="I105" s="0" t="str">
        <f aca="false">_xlfn.CONCAT(Atakapa_Parsed_Corpus[[#This Row],[Gloss.2]],"    ",Atakapa_Parsed_Corpus[[#This Row],[Gloss.4]])</f>
        <v>RECIP-3STATS-fight-COMPL-PROG    </v>
      </c>
      <c r="J105" s="0" t="s">
        <v>625</v>
      </c>
      <c r="K105" s="3" t="s">
        <v>626</v>
      </c>
    </row>
    <row r="106" customFormat="false" ht="15" hidden="false" customHeight="false" outlineLevel="0" collapsed="false">
      <c r="A106" s="0" t="n">
        <v>126</v>
      </c>
      <c r="B106" s="0" t="s">
        <v>627</v>
      </c>
      <c r="C106" s="0" t="s">
        <v>628</v>
      </c>
      <c r="D106" s="0" t="s">
        <v>629</v>
      </c>
      <c r="E106" s="0" t="s">
        <v>630</v>
      </c>
      <c r="H106" s="0" t="str">
        <f aca="false">_xlfn.CONCAT(Atakapa_Parsed_Corpus[[#This Row],[Gloss.1]],"    ",Atakapa_Parsed_Corpus[[#This Row],[Gloss.3]])</f>
        <v>payakš    ø-tiš-koh-at    </v>
      </c>
      <c r="I106" s="0" t="str">
        <f aca="false">_xlfn.CONCAT(Atakapa_Parsed_Corpus[[#This Row],[Gloss.2]],"    ",Atakapa_Parsed_Corpus[[#This Row],[Gloss.4]])</f>
        <v>back      3STATS-go-DESID-PRET    </v>
      </c>
      <c r="J106" s="0" t="s">
        <v>631</v>
      </c>
      <c r="K106" s="3" t="s">
        <v>632</v>
      </c>
    </row>
    <row r="107" customFormat="false" ht="15" hidden="false" customHeight="false" outlineLevel="0" collapsed="false">
      <c r="A107" s="0" t="n">
        <v>127</v>
      </c>
      <c r="C107" s="0" t="s">
        <v>633</v>
      </c>
      <c r="D107" s="0" t="s">
        <v>634</v>
      </c>
      <c r="E107" s="0" t="s">
        <v>635</v>
      </c>
      <c r="F107" s="0" t="s">
        <v>636</v>
      </c>
      <c r="G107" s="0" t="s">
        <v>637</v>
      </c>
      <c r="H107" s="0" t="str">
        <f aca="false">_xlfn.CONCAT(Atakapa_Parsed_Corpus[[#This Row],[Gloss.1]],"    ",Atakapa_Parsed_Corpus[[#This Row],[Gloss.3]])</f>
        <v>kiš       ø-mok-at=ya         ø-yo·l-at                kica·k    ø-kaw=ya       ø-waŋ-šak-pam-koh=ya               šak-hewš</v>
      </c>
      <c r="I107" s="0" t="str">
        <f aca="false">_xlfn.CONCAT(Atakapa_Parsed_Corpus[[#This Row],[Gloss.2]],"    ",Atakapa_Parsed_Corpus[[#This Row],[Gloss.4]])</f>
        <v>woman     3STATS-be.short-PRET=and 3STATS-be.ill.tempered-PRET whiskey    3STATS-die(sg)=and 3STATS-go.about-3PLOBJ-beat-DESID=and 3PLOBJ-curse</v>
      </c>
      <c r="J107" s="0" t="s">
        <v>638</v>
      </c>
      <c r="K107" s="3" t="s">
        <v>639</v>
      </c>
    </row>
    <row r="108" customFormat="false" ht="15" hidden="false" customHeight="false" outlineLevel="0" collapsed="false">
      <c r="A108" s="0" t="n">
        <v>128</v>
      </c>
      <c r="B108" s="0" t="s">
        <v>539</v>
      </c>
      <c r="C108" s="0" t="s">
        <v>640</v>
      </c>
      <c r="D108" s="0" t="s">
        <v>541</v>
      </c>
      <c r="E108" s="0" t="s">
        <v>641</v>
      </c>
      <c r="H108" s="0" t="str">
        <f aca="false">_xlfn.CONCAT(Atakapa_Parsed_Corpus[[#This Row],[Gloss.1]],"    ",Atakapa_Parsed_Corpus[[#This Row],[Gloss.3]])</f>
        <v>tan-hew        šak-inawš-kohš-hah-ul-at    </v>
      </c>
      <c r="I108" s="0" t="str">
        <f aca="false">_xlfn.CONCAT(Atakapa_Parsed_Corpus[[#This Row],[Gloss.2]],"    ",Atakapa_Parsed_Corpus[[#This Row],[Gloss.4]])</f>
        <v>other-PL       3STATS-enter-DESID-NEG-3PLS-PRET    </v>
      </c>
      <c r="J108" s="0" t="s">
        <v>543</v>
      </c>
      <c r="K108" s="3" t="s">
        <v>642</v>
      </c>
    </row>
    <row r="109" customFormat="false" ht="15" hidden="false" customHeight="false" outlineLevel="0" collapsed="false">
      <c r="A109" s="0" t="n">
        <v>129</v>
      </c>
      <c r="B109" s="0" t="s">
        <v>643</v>
      </c>
      <c r="C109" s="0" t="s">
        <v>644</v>
      </c>
      <c r="D109" s="0" t="s">
        <v>645</v>
      </c>
      <c r="E109" s="0" t="s">
        <v>646</v>
      </c>
      <c r="H109" s="0" t="str">
        <f aca="false">_xlfn.CONCAT(Atakapa_Parsed_Corpus[[#This Row],[Gloss.1]],"    ",Atakapa_Parsed_Corpus[[#This Row],[Gloss.3]])</f>
        <v>wi   nuŋ-ut    pay-hi-tiš-koh    </v>
      </c>
      <c r="I109" s="0" t="str">
        <f aca="false">_xlfn.CONCAT(Atakapa_Parsed_Corpus[[#This Row],[Gloss.2]],"    ",Atakapa_Parsed_Corpus[[#This Row],[Gloss.4]])</f>
        <v>my   village-DIR back-1SSTATS-go-DESID    </v>
      </c>
      <c r="J109" s="0" t="s">
        <v>647</v>
      </c>
      <c r="K109" s="3" t="s">
        <v>648</v>
      </c>
    </row>
    <row r="110" customFormat="false" ht="15" hidden="false" customHeight="false" outlineLevel="0" collapsed="false">
      <c r="A110" s="0" t="n">
        <v>130</v>
      </c>
      <c r="B110" s="0" t="s">
        <v>649</v>
      </c>
      <c r="C110" s="0" t="s">
        <v>26</v>
      </c>
      <c r="D110" s="0" t="s">
        <v>27</v>
      </c>
      <c r="E110" s="0" t="s">
        <v>28</v>
      </c>
      <c r="H110" s="0" t="str">
        <f aca="false">_xlfn.CONCAT(Atakapa_Parsed_Corpus[[#This Row],[Gloss.1]],"    ",Atakapa_Parsed_Corpus[[#This Row],[Gloss.3]])</f>
        <v>hiku wi   nuk  tik-hi-ka-koh    </v>
      </c>
      <c r="I110" s="0" t="str">
        <f aca="false">_xlfn.CONCAT(Atakapa_Parsed_Corpus[[#This Row],[Gloss.2]],"    ",Atakapa_Parsed_Corpus[[#This Row],[Gloss.4]])</f>
        <v>soup I    self go.and-1SSTATS-make-DESID    </v>
      </c>
      <c r="J110" s="0" t="s">
        <v>29</v>
      </c>
      <c r="K110" s="3" t="s">
        <v>650</v>
      </c>
    </row>
    <row r="111" customFormat="false" ht="15" hidden="false" customHeight="false" outlineLevel="0" collapsed="false">
      <c r="A111" s="0" t="n">
        <v>131</v>
      </c>
      <c r="B111" s="0" t="s">
        <v>651</v>
      </c>
      <c r="C111" s="0" t="s">
        <v>652</v>
      </c>
      <c r="D111" s="0" t="s">
        <v>653</v>
      </c>
      <c r="E111" s="0" t="s">
        <v>654</v>
      </c>
      <c r="H111" s="0" t="str">
        <f aca="false">_xlfn.CONCAT(Atakapa_Parsed_Corpus[[#This Row],[Gloss.1]],"    ",Atakapa_Parsed_Corpus[[#This Row],[Gloss.3]])</f>
        <v>n-šok-yah-kohš      a    </v>
      </c>
      <c r="I111" s="0" t="str">
        <f aca="false">_xlfn.CONCAT(Atakapa_Parsed_Corpus[[#This Row],[Gloss.2]],"    ",Atakapa_Parsed_Corpus[[#This Row],[Gloss.4]])</f>
        <v>2SSTATS-STH-eat-DESID Q    </v>
      </c>
      <c r="J111" s="0" t="s">
        <v>655</v>
      </c>
      <c r="K111" s="3" t="s">
        <v>656</v>
      </c>
    </row>
    <row r="112" customFormat="false" ht="15" hidden="false" customHeight="false" outlineLevel="0" collapsed="false">
      <c r="A112" s="0" t="n">
        <v>132</v>
      </c>
      <c r="B112" s="0" t="s">
        <v>657</v>
      </c>
      <c r="C112" s="0" t="s">
        <v>658</v>
      </c>
      <c r="D112" s="0" t="s">
        <v>659</v>
      </c>
      <c r="E112" s="0" t="s">
        <v>660</v>
      </c>
      <c r="H112" s="0" t="str">
        <f aca="false">_xlfn.CONCAT(Atakapa_Parsed_Corpus[[#This Row],[Gloss.1]],"    ",Atakapa_Parsed_Corpus[[#This Row],[Gloss.3]])</f>
        <v>n-šokyah-kohš-hahš  a    </v>
      </c>
      <c r="I112" s="0" t="str">
        <f aca="false">_xlfn.CONCAT(Atakapa_Parsed_Corpus[[#This Row],[Gloss.2]],"    ",Atakapa_Parsed_Corpus[[#This Row],[Gloss.4]])</f>
        <v>2SSTATS-eat-DESID-NEG Q    </v>
      </c>
      <c r="J112" s="0" t="s">
        <v>661</v>
      </c>
      <c r="K112" s="3" t="s">
        <v>662</v>
      </c>
    </row>
    <row r="113" customFormat="false" ht="15" hidden="false" customHeight="false" outlineLevel="0" collapsed="false">
      <c r="A113" s="0" t="n">
        <v>133</v>
      </c>
      <c r="B113" s="0" t="s">
        <v>663</v>
      </c>
      <c r="C113" s="0" t="s">
        <v>664</v>
      </c>
      <c r="D113" s="0" t="s">
        <v>665</v>
      </c>
      <c r="E113" s="0" t="s">
        <v>666</v>
      </c>
      <c r="H113" s="0" t="str">
        <f aca="false">_xlfn.CONCAT(Atakapa_Parsed_Corpus[[#This Row],[Gloss.1]],"    ",Atakapa_Parsed_Corpus[[#This Row],[Gloss.3]])</f>
        <v>kúlke     hok-tiwe·-toh-n̥t-cel    </v>
      </c>
      <c r="I113" s="0" t="str">
        <f aca="false">_xlfn.CONCAT(Atakapa_Parsed_Corpus[[#This Row],[Gloss.2]],"    ",Atakapa_Parsed_Corpus[[#This Row],[Gloss.4]])</f>
        <v>always    RECIP-be.with-live(pl)-CONTIN-1PLS    </v>
      </c>
      <c r="J113" s="0" t="s">
        <v>667</v>
      </c>
      <c r="K113" s="3" t="s">
        <v>668</v>
      </c>
    </row>
    <row r="114" customFormat="false" ht="15" hidden="false" customHeight="false" outlineLevel="0" collapsed="false">
      <c r="A114" s="0" t="n">
        <v>134</v>
      </c>
      <c r="C114" s="0" t="s">
        <v>669</v>
      </c>
      <c r="D114" s="0" t="s">
        <v>670</v>
      </c>
      <c r="E114" s="0" t="s">
        <v>671</v>
      </c>
      <c r="H114" s="0" t="str">
        <f aca="false">_xlfn.CONCAT(Atakapa_Parsed_Corpus[[#This Row],[Gloss.1]],"    ",Atakapa_Parsed_Corpus[[#This Row],[Gloss.3]])</f>
        <v>taw-hok-walš-n̥t-cel    </v>
      </c>
      <c r="I114" s="0" t="str">
        <f aca="false">_xlfn.CONCAT(Atakapa_Parsed_Corpus[[#This Row],[Gloss.2]],"    ",Atakapa_Parsed_Corpus[[#This Row],[Gloss.4]])</f>
        <v>STAND-RECIP-fan-CONTIN-1PLS    </v>
      </c>
      <c r="J114" s="0" t="s">
        <v>672</v>
      </c>
      <c r="K114" s="3" t="s">
        <v>673</v>
      </c>
    </row>
    <row r="115" customFormat="false" ht="15" hidden="false" customHeight="false" outlineLevel="0" collapsed="false">
      <c r="A115" s="0" t="n">
        <v>135</v>
      </c>
      <c r="B115" s="0" t="s">
        <v>674</v>
      </c>
      <c r="C115" s="0" t="s">
        <v>675</v>
      </c>
      <c r="D115" s="0" t="s">
        <v>676</v>
      </c>
      <c r="E115" s="0" t="s">
        <v>677</v>
      </c>
      <c r="H115" s="0" t="str">
        <f aca="false">_xlfn.CONCAT(Atakapa_Parsed_Corpus[[#This Row],[Gloss.1]],"    ",Atakapa_Parsed_Corpus[[#This Row],[Gloss.3]])</f>
        <v>kawkaw    ø-am-n̥        an-ike    n̥tah-n̥t-at    </v>
      </c>
      <c r="I115" s="0" t="str">
        <f aca="false">_xlfn.CONCAT(Atakapa_Parsed_Corpus[[#This Row],[Gloss.2]],"    ",Atakapa_Parsed_Corpus[[#This Row],[Gloss.4]])</f>
        <v>water     3STATS-drink-WHEN ear-ELL come.out-CONTIN-PRET    </v>
      </c>
      <c r="J115" s="0" t="s">
        <v>678</v>
      </c>
      <c r="K115" s="3" t="s">
        <v>679</v>
      </c>
    </row>
    <row r="116" customFormat="false" ht="15" hidden="false" customHeight="false" outlineLevel="0" collapsed="false">
      <c r="A116" s="0" t="n">
        <v>136</v>
      </c>
      <c r="B116" s="0" t="s">
        <v>680</v>
      </c>
      <c r="C116" s="0" t="s">
        <v>681</v>
      </c>
      <c r="D116" s="0" t="s">
        <v>682</v>
      </c>
      <c r="E116" s="0" t="s">
        <v>683</v>
      </c>
      <c r="F116" s="0" t="s">
        <v>684</v>
      </c>
      <c r="G116" s="0" t="s">
        <v>685</v>
      </c>
      <c r="H116" s="0" t="str">
        <f aca="false">_xlfn.CONCAT(Atakapa_Parsed_Corpus[[#This Row],[Gloss.1]],"    ",Atakapa_Parsed_Corpus[[#This Row],[Gloss.3]])</f>
        <v>iyaŋ ø-ke·t-n̥t-at       yukit-š   tul  maynoy    iš-icyuc-kin</v>
      </c>
      <c r="I116" s="0" t="str">
        <f aca="false">_xlfn.CONCAT(Atakapa_Parsed_Corpus[[#This Row],[Gloss.2]],"    ",Atakapa_Parsed_Corpus[[#This Row],[Gloss.4]])</f>
        <v>there 3STATS-dwell-CONTIN-PRET we-FOC lake other.side    1PLSTATS-grow.up-WHEN</v>
      </c>
      <c r="J116" s="0" t="s">
        <v>686</v>
      </c>
      <c r="K116" s="3" t="s">
        <v>687</v>
      </c>
    </row>
    <row r="117" customFormat="false" ht="15" hidden="false" customHeight="false" outlineLevel="0" collapsed="false">
      <c r="A117" s="0" t="n">
        <v>139</v>
      </c>
      <c r="B117" s="0" t="s">
        <v>688</v>
      </c>
      <c r="C117" s="0" t="s">
        <v>689</v>
      </c>
      <c r="D117" s="0" t="s">
        <v>690</v>
      </c>
      <c r="E117" s="0" t="s">
        <v>691</v>
      </c>
      <c r="F117" s="0" t="s">
        <v>692</v>
      </c>
      <c r="G117" s="0" t="s">
        <v>693</v>
      </c>
      <c r="H117" s="0" t="str">
        <f aca="false">_xlfn.CONCAT(Atakapa_Parsed_Corpus[[#This Row],[Gloss.1]],"    ",Atakapa_Parsed_Corpus[[#This Row],[Gloss.3]])</f>
        <v>kew-ƛukš-ki-nt-o·             na-ik-iš    kew-yulš-ki-nt-o·</v>
      </c>
      <c r="I117" s="0" t="str">
        <f aca="false">_xlfn.CONCAT(Atakapa_Parsed_Corpus[[#This Row],[Gloss.2]],"    ",Atakapa_Parsed_Corpus[[#This Row],[Gloss.4]])</f>
        <v>SIT-smoke.tobacco-FC-CONTIN-PHR:TERM you(sg)-ERG.AGNT-FOC    SIT-write-FC-CONTIN-PHR.TERM</v>
      </c>
      <c r="J117" s="0" t="s">
        <v>694</v>
      </c>
      <c r="K117" s="3" t="s">
        <v>695</v>
      </c>
    </row>
    <row r="118" customFormat="false" ht="15" hidden="false" customHeight="false" outlineLevel="0" collapsed="false">
      <c r="A118" s="0" t="n">
        <v>140</v>
      </c>
      <c r="B118" s="0" t="s">
        <v>696</v>
      </c>
      <c r="C118" s="0" t="s">
        <v>697</v>
      </c>
      <c r="D118" s="0" t="s">
        <v>698</v>
      </c>
      <c r="E118" s="0" t="s">
        <v>699</v>
      </c>
      <c r="H118" s="0" t="str">
        <f aca="false">_xlfn.CONCAT(Atakapa_Parsed_Corpus[[#This Row],[Gloss.1]],"    ",Atakapa_Parsed_Corpus[[#This Row],[Gloss.3]])</f>
        <v>wi   nomš ci·k šak-icyuc-iš-ki-n̥t-o·    </v>
      </c>
      <c r="I118" s="0" t="str">
        <f aca="false">_xlfn.CONCAT(Atakapa_Parsed_Corpus[[#This Row],[Gloss.2]],"    ",Atakapa_Parsed_Corpus[[#This Row],[Gloss.4]])</f>
        <v>my   child two 3PLO-raise-CAUS-FC-CONTIN-PHR.TERM    </v>
      </c>
      <c r="J118" s="0" t="s">
        <v>700</v>
      </c>
      <c r="K118" s="3" t="s">
        <v>701</v>
      </c>
    </row>
    <row r="119" customFormat="false" ht="15" hidden="false" customHeight="false" outlineLevel="0" collapsed="false">
      <c r="A119" s="0" t="n">
        <v>141</v>
      </c>
      <c r="B119" s="0" t="s">
        <v>702</v>
      </c>
      <c r="C119" s="0" t="s">
        <v>703</v>
      </c>
      <c r="D119" s="0" t="s">
        <v>704</v>
      </c>
      <c r="E119" s="0" t="s">
        <v>705</v>
      </c>
      <c r="H119" s="0" t="str">
        <f aca="false">_xlfn.CONCAT(Atakapa_Parsed_Corpus[[#This Row],[Gloss.1]],"    ",Atakapa_Parsed_Corpus[[#This Row],[Gloss.3]])</f>
        <v>wi-iš ša-ot         kew-šak-yulš-ki-n̥ t-o·    </v>
      </c>
      <c r="I119" s="0" t="str">
        <f aca="false">_xlfn.CONCAT(Atakapa_Parsed_Corpus[[#This Row],[Gloss.2]],"    ",Atakapa_Parsed_Corpus[[#This Row],[Gloss.4]])</f>
        <v>I-FOC someone-DIR   SIT-3PLO-write-FC-CONTIN-PHR.TERM    </v>
      </c>
      <c r="J119" s="0" t="s">
        <v>706</v>
      </c>
      <c r="K119" s="3" t="s">
        <v>707</v>
      </c>
    </row>
    <row r="120" customFormat="false" ht="15" hidden="false" customHeight="false" outlineLevel="0" collapsed="false">
      <c r="A120" s="0" t="n">
        <v>142</v>
      </c>
      <c r="B120" s="0" t="s">
        <v>708</v>
      </c>
      <c r="C120" s="0" t="s">
        <v>709</v>
      </c>
      <c r="D120" s="0" t="s">
        <v>710</v>
      </c>
      <c r="E120" s="0" t="s">
        <v>711</v>
      </c>
      <c r="H120" s="0" t="str">
        <f aca="false">_xlfn.CONCAT(Atakapa_Parsed_Corpus[[#This Row],[Gloss.1]],"    ",Atakapa_Parsed_Corpus[[#This Row],[Gloss.3]])</f>
        <v>tul  o·ši      nuŋ-nul-tihi-n̥st    </v>
      </c>
      <c r="I120" s="0" t="str">
        <f aca="false">_xlfn.CONCAT(Atakapa_Parsed_Corpus[[#This Row],[Gloss.2]],"    ",Atakapa_Parsed_Corpus[[#This Row],[Gloss.4]])</f>
        <v>lake edge.of   village-dwell(pl)-PST.PROG-CUSTOM    </v>
      </c>
      <c r="J120" s="0" t="s">
        <v>712</v>
      </c>
      <c r="K120" s="3" t="s">
        <v>713</v>
      </c>
    </row>
    <row r="121" customFormat="false" ht="15" hidden="false" customHeight="false" outlineLevel="0" collapsed="false">
      <c r="A121" s="0" t="n">
        <v>143</v>
      </c>
      <c r="B121" s="0" t="s">
        <v>714</v>
      </c>
      <c r="C121" s="0" t="s">
        <v>715</v>
      </c>
      <c r="D121" s="0" t="s">
        <v>716</v>
      </c>
      <c r="E121" s="0" t="s">
        <v>717</v>
      </c>
      <c r="F121" s="0" t="s">
        <v>718</v>
      </c>
      <c r="G121" s="0" t="s">
        <v>719</v>
      </c>
      <c r="H121" s="0" t="str">
        <f aca="false">_xlfn.CONCAT(Atakapa_Parsed_Corpus[[#This Row],[Gloss.1]],"    ",Atakapa_Parsed_Corpus[[#This Row],[Gloss.3]])</f>
        <v>neš  hišomš-kin yukhiti  tul-ip    lok-kin   iwa·t-n̥    hu-n̥št</v>
      </c>
      <c r="I121" s="0" t="str">
        <f aca="false">_xlfn.CONCAT(Atakapa_Parsed_Corpus[[#This Row],[Gloss.2]],"    ",Atakapa_Parsed_Corpus[[#This Row],[Gloss.4]])</f>
        <v>tree small-LOC Indian    lake-INESS prairie-LOC move.hither-WHEN    see-CUSTOM</v>
      </c>
      <c r="J121" s="0" t="s">
        <v>720</v>
      </c>
      <c r="K121" s="3" t="s">
        <v>721</v>
      </c>
    </row>
    <row r="122" customFormat="false" ht="15" hidden="false" customHeight="false" outlineLevel="0" collapsed="false">
      <c r="A122" s="0" t="n">
        <v>144</v>
      </c>
      <c r="B122" s="0" t="s">
        <v>722</v>
      </c>
      <c r="C122" s="0" t="s">
        <v>723</v>
      </c>
      <c r="D122" s="0" t="s">
        <v>724</v>
      </c>
      <c r="E122" s="0" t="s">
        <v>725</v>
      </c>
      <c r="F122" s="0" t="s">
        <v>726</v>
      </c>
      <c r="G122" s="0" t="s">
        <v>727</v>
      </c>
      <c r="H122" s="0" t="str">
        <f aca="false">_xlfn.CONCAT(Atakapa_Parsed_Corpus[[#This Row],[Gloss.1]],"    ",Atakapa_Parsed_Corpus[[#This Row],[Gloss.3]])</f>
        <v>oke·t hakit uc šak-itolš-n̥št      an   šak-itolš-n̥št    ahinakka  uc   šak-iwil-n̥št</v>
      </c>
      <c r="I122" s="0" t="str">
        <f aca="false">_xlfn.CONCAT(Atakapa_Parsed_Corpus[[#This Row],[Gloss.2]],"    ",Atakapa_Parsed_Corpus[[#This Row],[Gloss.4]])</f>
        <v>mother their nose 3PLO-arrange-CUSTOM ear 3PLO-arrange-CUSTOM    how       nose 3PLO-put.in.order-CUSTOM</v>
      </c>
      <c r="J122" s="0" t="s">
        <v>728</v>
      </c>
      <c r="K122" s="3" t="s">
        <v>729</v>
      </c>
    </row>
    <row r="123" customFormat="false" ht="15" hidden="false" customHeight="false" outlineLevel="0" collapsed="false">
      <c r="A123" s="0" t="n">
        <v>146</v>
      </c>
      <c r="C123" s="0" t="s">
        <v>730</v>
      </c>
      <c r="D123" s="0" t="s">
        <v>731</v>
      </c>
      <c r="E123" s="0" t="s">
        <v>732</v>
      </c>
      <c r="F123" s="0" t="s">
        <v>733</v>
      </c>
      <c r="G123" s="0" t="s">
        <v>734</v>
      </c>
      <c r="H123" s="0" t="str">
        <f aca="false">_xlfn.CONCAT(Atakapa_Parsed_Corpus[[#This Row],[Gloss.1]],"    ",Atakapa_Parsed_Corpus[[#This Row],[Gloss.3]])</f>
        <v>moyu      kima·t    cohoc     konan ol,ol    hiš-ul-at    ø-yah-ins-o·</v>
      </c>
      <c r="I123" s="0" t="str">
        <f aca="false">_xlfn.CONCAT(Atakapa_Parsed_Corpus[[#This Row],[Gloss.2]],"    ",Atakapa_Parsed_Corpus[[#This Row],[Gloss.4]])</f>
        <v>pumpkin   beans     maize     potato REDUP,sweet plant-3PLS-PRET    3S-eat-HABIT-PHR.TERM</v>
      </c>
      <c r="J123" s="0" t="s">
        <v>735</v>
      </c>
      <c r="K123" s="3" t="s">
        <v>736</v>
      </c>
    </row>
    <row r="124" customFormat="false" ht="15" hidden="false" customHeight="false" outlineLevel="0" collapsed="false">
      <c r="A124" s="0" t="n">
        <v>147</v>
      </c>
      <c r="B124" s="0" t="s">
        <v>737</v>
      </c>
      <c r="C124" s="0" t="s">
        <v>738</v>
      </c>
      <c r="D124" s="0" t="s">
        <v>739</v>
      </c>
      <c r="E124" s="0" t="s">
        <v>740</v>
      </c>
      <c r="H124" s="0" t="str">
        <f aca="false">_xlfn.CONCAT(Atakapa_Parsed_Corpus[[#This Row],[Gloss.1]],"    ",Atakapa_Parsed_Corpus[[#This Row],[Gloss.3]])</f>
        <v>yukít iš-yáh-inš-o·    </v>
      </c>
      <c r="I124" s="0" t="str">
        <f aca="false">_xlfn.CONCAT(Atakapa_Parsed_Corpus[[#This Row],[Gloss.2]],"    ",Atakapa_Parsed_Corpus[[#This Row],[Gloss.4]])</f>
        <v>we   1plstats-eat-HABIT-PHR.TERM    </v>
      </c>
      <c r="J124" s="0" t="s">
        <v>741</v>
      </c>
      <c r="K124" s="3" t="s">
        <v>742</v>
      </c>
    </row>
    <row r="125" customFormat="false" ht="15" hidden="false" customHeight="false" outlineLevel="0" collapsed="false">
      <c r="A125" s="0" t="n">
        <v>148</v>
      </c>
      <c r="B125" s="0" t="s">
        <v>743</v>
      </c>
      <c r="C125" s="0" t="s">
        <v>744</v>
      </c>
      <c r="D125" s="0" t="s">
        <v>745</v>
      </c>
      <c r="E125" s="0" t="s">
        <v>746</v>
      </c>
      <c r="H125" s="0" t="str">
        <f aca="false">_xlfn.CONCAT(Atakapa_Parsed_Corpus[[#This Row],[Gloss.1]],"    ",Atakapa_Parsed_Corpus[[#This Row],[Gloss.3]])</f>
        <v>nakít     nak-yáh-inš    </v>
      </c>
      <c r="I125" s="0" t="str">
        <f aca="false">_xlfn.CONCAT(Atakapa_Parsed_Corpus[[#This Row],[Gloss.2]],"    ",Atakapa_Parsed_Corpus[[#This Row],[Gloss.4]])</f>
        <v>you(pl)   2PLSTATS-eat-HABIT    </v>
      </c>
      <c r="J125" s="0" t="s">
        <v>747</v>
      </c>
      <c r="K125" s="3" t="s">
        <v>748</v>
      </c>
    </row>
    <row r="126" customFormat="false" ht="15" hidden="false" customHeight="false" outlineLevel="0" collapsed="false">
      <c r="A126" s="0" t="n">
        <v>149</v>
      </c>
      <c r="B126" s="0" t="s">
        <v>749</v>
      </c>
      <c r="C126" s="0" t="s">
        <v>750</v>
      </c>
      <c r="D126" s="0" t="s">
        <v>751</v>
      </c>
      <c r="E126" s="0" t="s">
        <v>752</v>
      </c>
      <c r="H126" s="0" t="str">
        <f aca="false">_xlfn.CONCAT(Atakapa_Parsed_Corpus[[#This Row],[Gloss.1]],"    ",Atakapa_Parsed_Corpus[[#This Row],[Gloss.3]])</f>
        <v>wi   hi-šokoy-inš        ilu  ni·t    </v>
      </c>
      <c r="I126" s="0" t="str">
        <f aca="false">_xlfn.CONCAT(Atakapa_Parsed_Corpus[[#This Row],[Gloss.2]],"    ",Atakapa_Parsed_Corpus[[#This Row],[Gloss.4]])</f>
        <v>I    1SSTATS-be.chief.-HABIT year five    </v>
      </c>
      <c r="J126" s="0" t="s">
        <v>753</v>
      </c>
      <c r="K126" s="3" t="s">
        <v>754</v>
      </c>
    </row>
    <row r="127" customFormat="false" ht="15" hidden="false" customHeight="false" outlineLevel="0" collapsed="false">
      <c r="A127" s="0" t="n">
        <v>150</v>
      </c>
      <c r="B127" s="0" t="s">
        <v>755</v>
      </c>
      <c r="C127" s="0" t="s">
        <v>756</v>
      </c>
      <c r="D127" s="0" t="s">
        <v>757</v>
      </c>
      <c r="E127" s="0" t="s">
        <v>758</v>
      </c>
      <c r="F127" s="0" t="s">
        <v>759</v>
      </c>
      <c r="G127" s="0" t="s">
        <v>760</v>
      </c>
      <c r="H127" s="0" t="str">
        <f aca="false">_xlfn.CONCAT(Atakapa_Parsed_Corpus[[#This Row],[Gloss.1]],"    ",Atakapa_Parsed_Corpus[[#This Row],[Gloss.3]])</f>
        <v>tik-ø-hu-koh-at          ø-kaw-hahš-tan tiš    ø-awš-at</v>
      </c>
      <c r="I127" s="0" t="str">
        <f aca="false">_xlfn.CONCAT(Atakapa_Parsed_Corpus[[#This Row],[Gloss.2]],"    ",Atakapa_Parsed_Corpus[[#This Row],[Gloss.4]])</f>
        <v>GO.AND-3STATS-see-DESID-PRET 3STATS-die-NEG-YET go    3STATS-not.be.able-PRET</v>
      </c>
      <c r="J127" s="0" t="s">
        <v>761</v>
      </c>
      <c r="K127" s="3" t="s">
        <v>762</v>
      </c>
    </row>
    <row r="128" customFormat="false" ht="15" hidden="false" customHeight="false" outlineLevel="0" collapsed="false">
      <c r="A128" s="0" t="n">
        <v>151</v>
      </c>
      <c r="C128" s="0" t="s">
        <v>763</v>
      </c>
      <c r="D128" s="0" t="s">
        <v>764</v>
      </c>
      <c r="E128" s="0" t="s">
        <v>765</v>
      </c>
      <c r="H128" s="0" t="str">
        <f aca="false">_xlfn.CONCAT(Atakapa_Parsed_Corpus[[#This Row],[Gloss.1]],"    ",Atakapa_Parsed_Corpus[[#This Row],[Gloss.3]])</f>
        <v>kelakwac  kawš      ø-makaw-hahš-tan    </v>
      </c>
      <c r="I128" s="0" t="str">
        <f aca="false">_xlfn.CONCAT(Atakapa_Parsed_Corpus[[#This Row],[Gloss.2]],"    ",Atakapa_Parsed_Corpus[[#This Row],[Gloss.4]])</f>
        <v>bottle    stopper   3STATS-fall(sg)-NEG-YET    </v>
      </c>
      <c r="J128" s="0" t="s">
        <v>766</v>
      </c>
      <c r="K128" s="3" t="s">
        <v>767</v>
      </c>
    </row>
    <row r="129" customFormat="false" ht="15" hidden="false" customHeight="false" outlineLevel="0" collapsed="false">
      <c r="A129" s="0" t="n">
        <v>152</v>
      </c>
      <c r="B129" s="0" t="s">
        <v>768</v>
      </c>
      <c r="C129" s="0" t="s">
        <v>769</v>
      </c>
      <c r="D129" s="0" t="s">
        <v>770</v>
      </c>
      <c r="E129" s="0" t="s">
        <v>771</v>
      </c>
      <c r="H129" s="0" t="str">
        <f aca="false">_xlfn.CONCAT(Atakapa_Parsed_Corpus[[#This Row],[Gloss.1]],"    ",Atakapa_Parsed_Corpus[[#This Row],[Gloss.3]])</f>
        <v>hok-inac-ul-hahš-tan    </v>
      </c>
      <c r="I129" s="0" t="str">
        <f aca="false">_xlfn.CONCAT(Atakapa_Parsed_Corpus[[#This Row],[Gloss.2]],"    ",Atakapa_Parsed_Corpus[[#This Row],[Gloss.4]])</f>
        <v>RECIP-fight-3PLS-NEG-YET    </v>
      </c>
      <c r="J129" s="0" t="s">
        <v>772</v>
      </c>
      <c r="K129" s="3" t="s">
        <v>773</v>
      </c>
    </row>
    <row r="130" customFormat="false" ht="15" hidden="false" customHeight="false" outlineLevel="0" collapsed="false">
      <c r="A130" s="0" t="n">
        <v>153</v>
      </c>
      <c r="B130" s="0" t="s">
        <v>774</v>
      </c>
      <c r="C130" s="0" t="s">
        <v>775</v>
      </c>
      <c r="D130" s="0" t="s">
        <v>776</v>
      </c>
      <c r="E130" s="0" t="s">
        <v>777</v>
      </c>
      <c r="H130" s="0" t="str">
        <f aca="false">_xlfn.CONCAT(Atakapa_Parsed_Corpus[[#This Row],[Gloss.1]],"    ",Atakapa_Parsed_Corpus[[#This Row],[Gloss.3]])</f>
        <v>cumš-ø-hahš-tan    </v>
      </c>
      <c r="I130" s="0" t="str">
        <f aca="false">_xlfn.CONCAT(Atakapa_Parsed_Corpus[[#This Row],[Gloss.2]],"    ",Atakapa_Parsed_Corpus[[#This Row],[Gloss.4]])</f>
        <v>pinch-3S-NEG-YET    </v>
      </c>
      <c r="J130" s="0" t="s">
        <v>778</v>
      </c>
      <c r="K130" s="3" t="s">
        <v>779</v>
      </c>
    </row>
    <row r="131" customFormat="false" ht="15" hidden="false" customHeight="false" outlineLevel="0" collapsed="false">
      <c r="A131" s="0" t="n">
        <v>155</v>
      </c>
      <c r="B131" s="0" t="s">
        <v>780</v>
      </c>
      <c r="C131" s="0" t="s">
        <v>781</v>
      </c>
      <c r="D131" s="0" t="s">
        <v>782</v>
      </c>
      <c r="E131" s="0" t="s">
        <v>783</v>
      </c>
      <c r="H131" s="0" t="str">
        <f aca="false">_xlfn.CONCAT(Atakapa_Parsed_Corpus[[#This Row],[Gloss.1]],"    ",Atakapa_Parsed_Corpus[[#This Row],[Gloss.3]])</f>
        <v>tul  o·ši      nuŋ-nul-tihi-̥nst    </v>
      </c>
      <c r="I131" s="0" t="str">
        <f aca="false">_xlfn.CONCAT(Atakapa_Parsed_Corpus[[#This Row],[Gloss.2]],"    ",Atakapa_Parsed_Corpus[[#This Row],[Gloss.4]])</f>
        <v>lake edge.of   village-live-PST.PROG-CUSTOM    </v>
      </c>
      <c r="J131" s="0" t="s">
        <v>784</v>
      </c>
      <c r="K131" s="3" t="s">
        <v>785</v>
      </c>
    </row>
    <row r="132" customFormat="false" ht="15" hidden="false" customHeight="false" outlineLevel="0" collapsed="false">
      <c r="A132" s="0" t="n">
        <v>157</v>
      </c>
      <c r="B132" s="0" t="s">
        <v>786</v>
      </c>
      <c r="C132" s="0" t="s">
        <v>787</v>
      </c>
      <c r="D132" s="0" t="s">
        <v>788</v>
      </c>
      <c r="E132" s="0" t="s">
        <v>789</v>
      </c>
      <c r="H132" s="0" t="str">
        <f aca="false">_xlfn.CONCAT(Atakapa_Parsed_Corpus[[#This Row],[Gloss.1]],"    ",Atakapa_Parsed_Corpus[[#This Row],[Gloss.3]])</f>
        <v>hat-yulš-ø-o·       n̥hoh-ik    </v>
      </c>
      <c r="I132" s="0" t="str">
        <f aca="false">_xlfn.CONCAT(Atakapa_Parsed_Corpus[[#This Row],[Gloss.2]],"    ",Atakapa_Parsed_Corpus[[#This Row],[Gloss.4]])</f>
        <v>REFLEX-mark-3S-PHR.TERM face.paint-ERG.INSTR    </v>
      </c>
      <c r="J132" s="0" t="s">
        <v>790</v>
      </c>
      <c r="K132" s="3" t="s">
        <v>791</v>
      </c>
    </row>
    <row r="133" customFormat="false" ht="15" hidden="false" customHeight="false" outlineLevel="0" collapsed="false">
      <c r="A133" s="0" t="n">
        <v>158</v>
      </c>
      <c r="B133" s="0" t="s">
        <v>792</v>
      </c>
      <c r="C133" s="0" t="s">
        <v>793</v>
      </c>
      <c r="D133" s="0" t="s">
        <v>794</v>
      </c>
      <c r="E133" s="0" t="s">
        <v>795</v>
      </c>
      <c r="H133" s="0" t="str">
        <f aca="false">_xlfn.CONCAT(Atakapa_Parsed_Corpus[[#This Row],[Gloss.1]],"    ",Atakapa_Parsed_Corpus[[#This Row],[Gloss.3]])</f>
        <v>šak-hat-kop-š-n̥              hat-me·l-š-ø-o·    </v>
      </c>
      <c r="I133" s="0" t="str">
        <f aca="false">_xlfn.CONCAT(Atakapa_Parsed_Corpus[[#This Row],[Gloss.2]],"    ",Atakapa_Parsed_Corpus[[#This Row],[Gloss.4]])</f>
        <v>3PLSTATS-REFLEX-be.white-CAUS-WHEN REFLEX-be.black-CAUS-3S-PHR.TERM    </v>
      </c>
      <c r="J133" s="0" t="s">
        <v>796</v>
      </c>
      <c r="K133" s="3" t="s">
        <v>797</v>
      </c>
    </row>
    <row r="134" customFormat="false" ht="15" hidden="false" customHeight="false" outlineLevel="0" collapsed="false">
      <c r="A134" s="0" t="n">
        <v>159</v>
      </c>
      <c r="B134" s="0" t="s">
        <v>798</v>
      </c>
      <c r="C134" s="0" t="s">
        <v>799</v>
      </c>
      <c r="D134" s="0" t="s">
        <v>800</v>
      </c>
      <c r="E134" s="0" t="s">
        <v>801</v>
      </c>
      <c r="H134" s="0" t="str">
        <f aca="false">_xlfn.CONCAT(Atakapa_Parsed_Corpus[[#This Row],[Gloss.1]],"    ",Atakapa_Parsed_Corpus[[#This Row],[Gloss.3]])</f>
        <v>hakit iša·k    kaw-ot    hat-me·l-š-ø-o·    </v>
      </c>
      <c r="I134" s="0" t="str">
        <f aca="false">_xlfn.CONCAT(Atakapa_Parsed_Corpus[[#This Row],[Gloss.2]],"    ",Atakapa_Parsed_Corpus[[#This Row],[Gloss.4]])</f>
        <v>their person   dead-DIR  REFLEX-be.black-CAUS-3S-PHR.TERM    </v>
      </c>
      <c r="J134" s="0" t="s">
        <v>802</v>
      </c>
      <c r="K134" s="3" t="s">
        <v>803</v>
      </c>
    </row>
    <row r="135" customFormat="false" ht="15" hidden="false" customHeight="false" outlineLevel="0" collapsed="false">
      <c r="A135" s="0" t="n">
        <v>160</v>
      </c>
      <c r="B135" s="0" t="s">
        <v>804</v>
      </c>
      <c r="C135" s="0" t="s">
        <v>805</v>
      </c>
      <c r="D135" s="0" t="s">
        <v>806</v>
      </c>
      <c r="E135" s="0" t="s">
        <v>807</v>
      </c>
      <c r="H135" s="0" t="str">
        <f aca="false">_xlfn.CONCAT(Atakapa_Parsed_Corpus[[#This Row],[Gloss.1]],"    ",Atakapa_Parsed_Corpus[[#This Row],[Gloss.3]])</f>
        <v>ha-ik          hi-miš-ø-o·    </v>
      </c>
      <c r="I135" s="0" t="str">
        <f aca="false">_xlfn.CONCAT(Atakapa_Parsed_Corpus[[#This Row],[Gloss.2]],"    ",Atakapa_Parsed_Corpus[[#This Row],[Gloss.4]])</f>
        <v>s/he-ERG.AGNT  1SO-give-3S-PHR.TERM    </v>
      </c>
      <c r="J135" s="0" t="s">
        <v>808</v>
      </c>
      <c r="K135" s="3" t="s">
        <v>809</v>
      </c>
    </row>
    <row r="136" customFormat="false" ht="15" hidden="false" customHeight="false" outlineLevel="0" collapsed="false">
      <c r="A136" s="0" t="n">
        <v>161</v>
      </c>
      <c r="B136" s="0" t="s">
        <v>810</v>
      </c>
      <c r="C136" s="0" t="s">
        <v>811</v>
      </c>
      <c r="D136" s="0" t="s">
        <v>812</v>
      </c>
      <c r="E136" s="0" t="s">
        <v>813</v>
      </c>
      <c r="H136" s="0" t="str">
        <f aca="false">_xlfn.CONCAT(Atakapa_Parsed_Corpus[[#This Row],[Gloss.1]],"    ",Atakapa_Parsed_Corpus[[#This Row],[Gloss.3]])</f>
        <v>wi   uc   hat-cakš-o    </v>
      </c>
      <c r="I136" s="0" t="str">
        <f aca="false">_xlfn.CONCAT(Atakapa_Parsed_Corpus[[#This Row],[Gloss.2]],"    ",Atakapa_Parsed_Corpus[[#This Row],[Gloss.4]])</f>
        <v>my   nose REFLEX-dry-1SS    </v>
      </c>
      <c r="J136" s="0" t="s">
        <v>814</v>
      </c>
      <c r="K136" s="3" t="s">
        <v>815</v>
      </c>
    </row>
    <row r="137" customFormat="false" ht="15" hidden="false" customHeight="false" outlineLevel="0" collapsed="false">
      <c r="A137" s="0" t="n">
        <v>163</v>
      </c>
      <c r="B137" s="0" t="s">
        <v>610</v>
      </c>
      <c r="C137" s="0" t="s">
        <v>611</v>
      </c>
      <c r="D137" s="0" t="s">
        <v>612</v>
      </c>
      <c r="E137" s="0" t="s">
        <v>613</v>
      </c>
      <c r="H137" s="0" t="str">
        <f aca="false">_xlfn.CONCAT(Atakapa_Parsed_Corpus[[#This Row],[Gloss.1]],"    ",Atakapa_Parsed_Corpus[[#This Row],[Gloss.3]])</f>
        <v>eykun     hat-laš-haŋš-o    </v>
      </c>
      <c r="I137" s="0" t="str">
        <f aca="false">_xlfn.CONCAT(Atakapa_Parsed_Corpus[[#This Row],[Gloss.2]],"    ",Atakapa_Parsed_Corpus[[#This Row],[Gloss.4]])</f>
        <v>just.now  REFLEX-shave-COMPL-1SS    </v>
      </c>
      <c r="J137" s="0" t="s">
        <v>614</v>
      </c>
      <c r="K137" s="3" t="s">
        <v>816</v>
      </c>
    </row>
    <row r="138" customFormat="false" ht="15" hidden="false" customHeight="false" outlineLevel="0" collapsed="false">
      <c r="A138" s="0" t="n">
        <v>164</v>
      </c>
      <c r="B138" s="0" t="s">
        <v>817</v>
      </c>
      <c r="C138" s="0" t="s">
        <v>818</v>
      </c>
      <c r="D138" s="0" t="s">
        <v>819</v>
      </c>
      <c r="E138" s="0" t="s">
        <v>820</v>
      </c>
      <c r="H138" s="0" t="str">
        <f aca="false">_xlfn.CONCAT(Atakapa_Parsed_Corpus[[#This Row],[Gloss.1]],"    ",Atakapa_Parsed_Corpus[[#This Row],[Gloss.3]])</f>
        <v>yukhiti   ahinakka  hat-ø-itolš-hah-at    </v>
      </c>
      <c r="I138" s="0" t="str">
        <f aca="false">_xlfn.CONCAT(Atakapa_Parsed_Corpus[[#This Row],[Gloss.2]],"    ",Atakapa_Parsed_Corpus[[#This Row],[Gloss.4]])</f>
        <v>Indian    like      REFLEX-3STATS-dress-NEG-PRET    </v>
      </c>
      <c r="J138" s="0" t="s">
        <v>821</v>
      </c>
      <c r="K138" s="3" t="s">
        <v>822</v>
      </c>
    </row>
    <row r="139" customFormat="false" ht="15" hidden="false" customHeight="false" outlineLevel="0" collapsed="false">
      <c r="A139" s="0" t="n">
        <v>165</v>
      </c>
      <c r="B139" s="0" t="s">
        <v>823</v>
      </c>
      <c r="C139" s="0" t="s">
        <v>824</v>
      </c>
      <c r="D139" s="0" t="s">
        <v>825</v>
      </c>
      <c r="E139" s="0" t="s">
        <v>826</v>
      </c>
      <c r="H139" s="0" t="str">
        <f aca="false">_xlfn.CONCAT(Atakapa_Parsed_Corpus[[#This Row],[Gloss.1]],"    ",Atakapa_Parsed_Corpus[[#This Row],[Gloss.3]])</f>
        <v>tolhopš-ik     hi-hat-kawš-at    </v>
      </c>
      <c r="I139" s="0" t="str">
        <f aca="false">_xlfn.CONCAT(Atakapa_Parsed_Corpus[[#This Row],[Gloss.2]],"    ",Atakapa_Parsed_Corpus[[#This Row],[Gloss.4]])</f>
        <v>needle-ERG.INSTR 1SSTATS-REFLEX-prick-PRET    </v>
      </c>
      <c r="J139" s="0" t="s">
        <v>827</v>
      </c>
      <c r="K139" s="3" t="s">
        <v>828</v>
      </c>
    </row>
    <row r="140" customFormat="false" ht="15" hidden="false" customHeight="false" outlineLevel="0" collapsed="false">
      <c r="A140" s="0" t="n">
        <v>167</v>
      </c>
      <c r="B140" s="0" t="s">
        <v>829</v>
      </c>
      <c r="C140" s="0" t="s">
        <v>830</v>
      </c>
      <c r="D140" s="0" t="s">
        <v>831</v>
      </c>
      <c r="E140" s="0" t="s">
        <v>832</v>
      </c>
      <c r="H140" s="0" t="str">
        <f aca="false">_xlfn.CONCAT(Atakapa_Parsed_Corpus[[#This Row],[Gloss.1]],"    ",Atakapa_Parsed_Corpus[[#This Row],[Gloss.3]])</f>
        <v>taw-hat-wen-n̥t-o·            oc-ot-tá·t-ot    </v>
      </c>
      <c r="I140" s="0" t="str">
        <f aca="false">_xlfn.CONCAT(Atakapa_Parsed_Corpus[[#This Row],[Gloss.2]],"    ",Atakapa_Parsed_Corpus[[#This Row],[Gloss.4]])</f>
        <v>stand-REFLEX-pray-CONTIN-PHR.TERM above-DIR-stand-DIR    </v>
      </c>
      <c r="J140" s="0" t="s">
        <v>833</v>
      </c>
      <c r="K140" s="3" t="s">
        <v>834</v>
      </c>
    </row>
    <row r="141" customFormat="false" ht="15" hidden="false" customHeight="false" outlineLevel="0" collapsed="false">
      <c r="A141" s="0" t="n">
        <v>167</v>
      </c>
      <c r="B141" s="0" t="s">
        <v>229</v>
      </c>
      <c r="C141" s="0" t="s">
        <v>835</v>
      </c>
      <c r="D141" s="0" t="s">
        <v>836</v>
      </c>
      <c r="E141" s="0" t="s">
        <v>232</v>
      </c>
      <c r="H141" s="0" t="str">
        <f aca="false">_xlfn.CONCAT(Atakapa_Parsed_Corpus[[#This Row],[Gloss.1]],"    ",Atakapa_Parsed_Corpus[[#This Row],[Gloss.3]])</f>
        <v>yukit-š   iš-hat-ciškiš-at         yukit oke·t    hu-ne    </v>
      </c>
      <c r="I141" s="0" t="str">
        <f aca="false">_xlfn.CONCAT(Atakapa_Parsed_Corpus[[#This Row],[Gloss.2]],"    ",Atakapa_Parsed_Corpus[[#This Row],[Gloss.4]])</f>
        <v>we-FOC    1PLSTATS-REFLEX-be:glad-PRET our mother see-GER    </v>
      </c>
      <c r="J141" s="0" t="s">
        <v>233</v>
      </c>
      <c r="K141" s="3" t="s">
        <v>837</v>
      </c>
    </row>
    <row r="142" customFormat="false" ht="15" hidden="false" customHeight="false" outlineLevel="0" collapsed="false">
      <c r="A142" s="0" t="n">
        <v>169</v>
      </c>
      <c r="B142" s="0" t="s">
        <v>838</v>
      </c>
      <c r="C142" s="0" t="s">
        <v>839</v>
      </c>
      <c r="D142" s="0" t="s">
        <v>840</v>
      </c>
      <c r="E142" s="0" t="s">
        <v>841</v>
      </c>
      <c r="H142" s="0" t="str">
        <f aca="false">_xlfn.CONCAT(Atakapa_Parsed_Corpus[[#This Row],[Gloss.1]],"    ",Atakapa_Parsed_Corpus[[#This Row],[Gloss.3]])</f>
        <v>hi-hat-uhc-at    </v>
      </c>
      <c r="I142" s="0" t="str">
        <f aca="false">_xlfn.CONCAT(Atakapa_Parsed_Corpus[[#This Row],[Gloss.2]],"    ",Atakapa_Parsed_Corpus[[#This Row],[Gloss.4]])</f>
        <v>1SSTATS-REFLEX-know-PRET    </v>
      </c>
      <c r="J142" s="0" t="s">
        <v>842</v>
      </c>
      <c r="K142" s="3" t="s">
        <v>843</v>
      </c>
    </row>
    <row r="143" customFormat="false" ht="15" hidden="false" customHeight="false" outlineLevel="0" collapsed="false">
      <c r="A143" s="0" t="n">
        <v>170</v>
      </c>
      <c r="B143" s="0" t="s">
        <v>844</v>
      </c>
      <c r="C143" s="0" t="s">
        <v>845</v>
      </c>
      <c r="D143" s="0" t="s">
        <v>846</v>
      </c>
      <c r="E143" s="0" t="s">
        <v>847</v>
      </c>
      <c r="H143" s="0" t="str">
        <f aca="false">_xlfn.CONCAT(Atakapa_Parsed_Corpus[[#This Row],[Gloss.1]],"    ",Atakapa_Parsed_Corpus[[#This Row],[Gloss.3]])</f>
        <v>teyoh hi-šak-hat-cewwan-at    </v>
      </c>
      <c r="I143" s="0" t="str">
        <f aca="false">_xlfn.CONCAT(Atakapa_Parsed_Corpus[[#This Row],[Gloss.2]],"    ",Atakapa_Parsed_Corpus[[#This Row],[Gloss.4]])</f>
        <v>trunk 1SSTATS-3PLO-REFLEX-forget-PRET    </v>
      </c>
      <c r="J143" s="0" t="s">
        <v>848</v>
      </c>
      <c r="K143" s="3" t="s">
        <v>849</v>
      </c>
    </row>
    <row r="144" customFormat="false" ht="15" hidden="false" customHeight="false" outlineLevel="0" collapsed="false">
      <c r="A144" s="0" t="n">
        <v>171</v>
      </c>
      <c r="C144" s="0" t="s">
        <v>850</v>
      </c>
      <c r="D144" s="0" t="s">
        <v>851</v>
      </c>
      <c r="E144" s="0" t="s">
        <v>852</v>
      </c>
      <c r="H144" s="0" t="str">
        <f aca="false">_xlfn.CONCAT(Atakapa_Parsed_Corpus[[#This Row],[Gloss.1]],"    ",Atakapa_Parsed_Corpus[[#This Row],[Gloss.3]])</f>
        <v>wi   hi-hat-ic-at    </v>
      </c>
      <c r="I144" s="0" t="str">
        <f aca="false">_xlfn.CONCAT(Atakapa_Parsed_Corpus[[#This Row],[Gloss.2]],"    ",Atakapa_Parsed_Corpus[[#This Row],[Gloss.4]])</f>
        <v>I    1SSTATS-REFLEX-awaken-PRET    </v>
      </c>
      <c r="J144" s="0" t="s">
        <v>853</v>
      </c>
      <c r="K144" s="3" t="s">
        <v>854</v>
      </c>
    </row>
    <row r="145" customFormat="false" ht="15" hidden="false" customHeight="false" outlineLevel="0" collapsed="false">
      <c r="A145" s="0" t="n">
        <v>172</v>
      </c>
      <c r="B145" s="0" t="s">
        <v>855</v>
      </c>
      <c r="C145" s="0" t="s">
        <v>856</v>
      </c>
      <c r="D145" s="0" t="s">
        <v>857</v>
      </c>
      <c r="E145" s="0" t="s">
        <v>858</v>
      </c>
      <c r="H145" s="0" t="str">
        <f aca="false">_xlfn.CONCAT(Atakapa_Parsed_Corpus[[#This Row],[Gloss.1]],"    ",Atakapa_Parsed_Corpus[[#This Row],[Gloss.3]])</f>
        <v>yukhiti   mo·ni     hok-inul-ul-at      himo·š-ot tiw-ne    </v>
      </c>
      <c r="I145" s="0" t="str">
        <f aca="false">_xlfn.CONCAT(Atakapa_Parsed_Corpus[[#This Row],[Gloss.2]],"    ",Atakapa_Parsed_Corpus[[#This Row],[Gloss.4]])</f>
        <v>Indian    all(human) RECIP-gather-3PLS-PRET burial-DIR go(pl)-GER    </v>
      </c>
      <c r="J145" s="0" t="s">
        <v>859</v>
      </c>
      <c r="K145" s="3" t="s">
        <v>860</v>
      </c>
    </row>
    <row r="146" customFormat="false" ht="15" hidden="false" customHeight="false" outlineLevel="0" collapsed="false">
      <c r="A146" s="0" t="n">
        <v>173</v>
      </c>
      <c r="B146" s="0" t="s">
        <v>402</v>
      </c>
      <c r="C146" s="0" t="s">
        <v>403</v>
      </c>
      <c r="D146" s="0" t="s">
        <v>861</v>
      </c>
      <c r="E146" s="0" t="s">
        <v>862</v>
      </c>
      <c r="F146" s="0" t="s">
        <v>863</v>
      </c>
      <c r="G146" s="0" t="s">
        <v>864</v>
      </c>
      <c r="H146" s="0" t="str">
        <f aca="false">_xlfn.CONCAT(Atakapa_Parsed_Corpus[[#This Row],[Gloss.1]],"    ",Atakapa_Parsed_Corpus[[#This Row],[Gloss.3]])</f>
        <v>waŋ-hok-ø-pe·m-kin            iša·kšakkoŋne    ok-šak-ø-yal-at</v>
      </c>
      <c r="I146" s="0" t="str">
        <f aca="false">_xlfn.CONCAT(Atakapa_Parsed_Corpus[[#This Row],[Gloss.2]],"    ",Atakapa_Parsed_Corpus[[#This Row],[Gloss.4]])</f>
        <v>go.about-RECIP-3STATS-shoot-WHEN sheriff    COME.AND-3PLO-3STATS-sieze(pl)-PRET</v>
      </c>
      <c r="J146" s="0" t="s">
        <v>408</v>
      </c>
      <c r="K146" s="3" t="s">
        <v>865</v>
      </c>
    </row>
    <row r="147" customFormat="false" ht="15" hidden="false" customHeight="false" outlineLevel="0" collapsed="false">
      <c r="A147" s="0" t="n">
        <v>174</v>
      </c>
      <c r="B147" s="0" t="s">
        <v>866</v>
      </c>
      <c r="C147" s="0" t="s">
        <v>867</v>
      </c>
      <c r="D147" s="0" t="s">
        <v>868</v>
      </c>
      <c r="E147" s="0" t="s">
        <v>869</v>
      </c>
      <c r="H147" s="0" t="str">
        <f aca="false">_xlfn.CONCAT(Atakapa_Parsed_Corpus[[#This Row],[Gloss.1]],"    ",Atakapa_Parsed_Corpus[[#This Row],[Gloss.3]])</f>
        <v>šiwan nohamš   šak-šošomš-ø-at    </v>
      </c>
      <c r="I147" s="0" t="str">
        <f aca="false">_xlfn.CONCAT(Atakapa_Parsed_Corpus[[#This Row],[Gloss.2]],"    ",Atakapa_Parsed_Corpus[[#This Row],[Gloss.4]])</f>
        <v>cat  chicken   3PLO-scare(pl)- 3S-PRET    </v>
      </c>
      <c r="J147" s="0" t="s">
        <v>870</v>
      </c>
      <c r="K147" s="3" t="s">
        <v>871</v>
      </c>
    </row>
    <row r="148" customFormat="false" ht="15" hidden="false" customHeight="false" outlineLevel="0" collapsed="false">
      <c r="A148" s="0" t="n">
        <v>175</v>
      </c>
      <c r="B148" s="0" t="s">
        <v>872</v>
      </c>
      <c r="C148" s="0" t="s">
        <v>873</v>
      </c>
      <c r="D148" s="0" t="s">
        <v>874</v>
      </c>
      <c r="E148" s="0" t="s">
        <v>875</v>
      </c>
      <c r="F148" s="0" t="s">
        <v>876</v>
      </c>
      <c r="G148" s="0" t="s">
        <v>877</v>
      </c>
      <c r="H148" s="0" t="str">
        <f aca="false">_xlfn.CONCAT(Atakapa_Parsed_Corpus[[#This Row],[Gloss.1]],"    ",Atakapa_Parsed_Corpus[[#This Row],[Gloss.3]])</f>
        <v>wiw-ul-at      iša·k     šak-pihk  tan-hew    ok-šak-hu-ul-at</v>
      </c>
      <c r="I148" s="0" t="str">
        <f aca="false">_xlfn.CONCAT(Atakapa_Parsed_Corpus[[#This Row],[Gloss.2]],"    ",Atakapa_Parsed_Corpus[[#This Row],[Gloss.4]])</f>
        <v>believe-3PLS-PRET person PL-die(pl) other-PL    come-3PLO-see-3PLS-PRET</v>
      </c>
      <c r="J148" s="0" t="s">
        <v>878</v>
      </c>
      <c r="K148" s="3" t="s">
        <v>879</v>
      </c>
    </row>
    <row r="149" customFormat="false" ht="15" hidden="false" customHeight="false" outlineLevel="0" collapsed="false">
      <c r="A149" s="0" t="n">
        <v>176</v>
      </c>
      <c r="B149" s="0" t="s">
        <v>880</v>
      </c>
      <c r="C149" s="0" t="s">
        <v>881</v>
      </c>
      <c r="D149" s="0" t="s">
        <v>882</v>
      </c>
      <c r="E149" s="0" t="s">
        <v>883</v>
      </c>
      <c r="H149" s="0" t="str">
        <f aca="false">_xlfn.CONCAT(Atakapa_Parsed_Corpus[[#This Row],[Gloss.1]],"    ",Atakapa_Parsed_Corpus[[#This Row],[Gloss.3]])</f>
        <v>ha   šak-iša·k hiyekiti       šak-yoŋš-ul-at    </v>
      </c>
      <c r="I149" s="0" t="str">
        <f aca="false">_xlfn.CONCAT(Atakapa_Parsed_Corpus[[#This Row],[Gloss.2]],"    ",Atakapa_Parsed_Corpus[[#This Row],[Gloss.4]])</f>
        <v>her  PL-person sunrise.people 3PLO-call.by.name.-3PLS-PRET    </v>
      </c>
      <c r="J149" s="0" t="s">
        <v>884</v>
      </c>
      <c r="K149" s="3" t="s">
        <v>885</v>
      </c>
    </row>
    <row r="150" customFormat="false" ht="15" hidden="false" customHeight="false" outlineLevel="0" collapsed="false">
      <c r="A150" s="0" t="n">
        <v>178</v>
      </c>
      <c r="B150" s="0" t="s">
        <v>886</v>
      </c>
      <c r="C150" s="0" t="s">
        <v>887</v>
      </c>
      <c r="D150" s="0" t="s">
        <v>888</v>
      </c>
      <c r="E150" s="0" t="s">
        <v>889</v>
      </c>
      <c r="H150" s="0" t="str">
        <f aca="false">_xlfn.CONCAT(Atakapa_Parsed_Corpus[[#This Row],[Gloss.1]],"    ",Atakapa_Parsed_Corpus[[#This Row],[Gloss.3]])</f>
        <v>hakit šak-oŋš    </v>
      </c>
      <c r="I150" s="0" t="str">
        <f aca="false">_xlfn.CONCAT(Atakapa_Parsed_Corpus[[#This Row],[Gloss.2]],"    ",Atakapa_Parsed_Corpus[[#This Row],[Gloss.4]])</f>
        <v>they 3PLSTATS-not.to.want    </v>
      </c>
      <c r="J150" s="0" t="s">
        <v>890</v>
      </c>
      <c r="K150" s="3" t="s">
        <v>891</v>
      </c>
    </row>
    <row r="151" customFormat="false" ht="15" hidden="false" customHeight="false" outlineLevel="0" collapsed="false">
      <c r="A151" s="0" t="n">
        <v>179</v>
      </c>
      <c r="B151" s="0" t="s">
        <v>892</v>
      </c>
      <c r="C151" s="0" t="s">
        <v>893</v>
      </c>
      <c r="D151" s="0" t="s">
        <v>894</v>
      </c>
      <c r="E151" s="0" t="s">
        <v>895</v>
      </c>
      <c r="H151" s="0" t="str">
        <f aca="false">_xlfn.CONCAT(Atakapa_Parsed_Corpus[[#This Row],[Gloss.1]],"    ",Atakapa_Parsed_Corpus[[#This Row],[Gloss.3]])</f>
        <v>keš=n          šakyol    te·š mo·n šak-maŋ,maŋ-at    </v>
      </c>
      <c r="I151" s="0" t="str">
        <f aca="false">_xlfn.CONCAT(Atakapa_Parsed_Corpus[[#This Row],[Gloss.2]],"    ",Atakapa_Parsed_Corpus[[#This Row],[Gloss.4]])</f>
        <v>woman(pl)=and  man       hair all  3PLSTATS-,REDUP,be.long-PRET    </v>
      </c>
      <c r="J151" s="0" t="s">
        <v>896</v>
      </c>
      <c r="K151" s="3" t="s">
        <v>897</v>
      </c>
    </row>
    <row r="152" customFormat="false" ht="15" hidden="false" customHeight="false" outlineLevel="0" collapsed="false">
      <c r="A152" s="0" t="n">
        <v>180</v>
      </c>
      <c r="B152" s="0" t="s">
        <v>838</v>
      </c>
      <c r="C152" s="0" t="s">
        <v>839</v>
      </c>
      <c r="D152" s="0" t="s">
        <v>840</v>
      </c>
      <c r="E152" s="0" t="s">
        <v>841</v>
      </c>
      <c r="H152" s="0" t="str">
        <f aca="false">_xlfn.CONCAT(Atakapa_Parsed_Corpus[[#This Row],[Gloss.1]],"    ",Atakapa_Parsed_Corpus[[#This Row],[Gloss.3]])</f>
        <v>hi-hat-uhc-at    </v>
      </c>
      <c r="I152" s="0" t="str">
        <f aca="false">_xlfn.CONCAT(Atakapa_Parsed_Corpus[[#This Row],[Gloss.2]],"    ",Atakapa_Parsed_Corpus[[#This Row],[Gloss.4]])</f>
        <v>1SSTATS-REFLEX-know-PRET    </v>
      </c>
      <c r="J152" s="0" t="s">
        <v>842</v>
      </c>
      <c r="K152" s="3" t="s">
        <v>898</v>
      </c>
    </row>
    <row r="153" customFormat="false" ht="15" hidden="false" customHeight="false" outlineLevel="0" collapsed="false">
      <c r="A153" s="0" t="n">
        <v>181</v>
      </c>
      <c r="C153" s="0" t="s">
        <v>899</v>
      </c>
      <c r="D153" s="0" t="s">
        <v>900</v>
      </c>
      <c r="E153" s="0" t="s">
        <v>901</v>
      </c>
      <c r="H153" s="0" t="str">
        <f aca="false">_xlfn.CONCAT(Atakapa_Parsed_Corpus[[#This Row],[Gloss.1]],"    ",Atakapa_Parsed_Corpus[[#This Row],[Gloss.3]])</f>
        <v>yukit iš-šokyah-koh    </v>
      </c>
      <c r="I153" s="0" t="str">
        <f aca="false">_xlfn.CONCAT(Atakapa_Parsed_Corpus[[#This Row],[Gloss.2]],"    ",Atakapa_Parsed_Corpus[[#This Row],[Gloss.4]])</f>
        <v>we   1PLSTATS-eat-DESID    </v>
      </c>
      <c r="J153" s="0" t="s">
        <v>902</v>
      </c>
      <c r="K153" s="3" t="s">
        <v>903</v>
      </c>
    </row>
    <row r="154" customFormat="false" ht="15" hidden="false" customHeight="false" outlineLevel="0" collapsed="false">
      <c r="A154" s="0" t="n">
        <v>182</v>
      </c>
      <c r="B154" s="0" t="s">
        <v>904</v>
      </c>
      <c r="C154" s="0" t="s">
        <v>905</v>
      </c>
      <c r="D154" s="0" t="s">
        <v>906</v>
      </c>
      <c r="E154" s="0" t="s">
        <v>907</v>
      </c>
      <c r="H154" s="0" t="str">
        <f aca="false">_xlfn.CONCAT(Atakapa_Parsed_Corpus[[#This Row],[Gloss.1]],"    ",Atakapa_Parsed_Corpus[[#This Row],[Gloss.3]])</f>
        <v>iš-hok-caŋš-at    </v>
      </c>
      <c r="I154" s="0" t="str">
        <f aca="false">_xlfn.CONCAT(Atakapa_Parsed_Corpus[[#This Row],[Gloss.2]],"    ",Atakapa_Parsed_Corpus[[#This Row],[Gloss.4]])</f>
        <v>1PLSTAT-RECIP-push-PRET    </v>
      </c>
      <c r="J154" s="0" t="s">
        <v>908</v>
      </c>
      <c r="K154" s="3" t="s">
        <v>909</v>
      </c>
    </row>
    <row r="155" customFormat="false" ht="15" hidden="false" customHeight="false" outlineLevel="0" collapsed="false">
      <c r="A155" s="0" t="n">
        <v>183</v>
      </c>
      <c r="B155" s="0" t="s">
        <v>910</v>
      </c>
      <c r="C155" s="0" t="s">
        <v>911</v>
      </c>
      <c r="D155" s="0" t="s">
        <v>912</v>
      </c>
      <c r="E155" s="0" t="s">
        <v>913</v>
      </c>
      <c r="H155" s="0" t="str">
        <f aca="false">_xlfn.CONCAT(Atakapa_Parsed_Corpus[[#This Row],[Gloss.1]],"    ",Atakapa_Parsed_Corpus[[#This Row],[Gloss.3]])</f>
        <v>n̥-hi-hu-hahš  a    </v>
      </c>
      <c r="I155" s="0" t="str">
        <f aca="false">_xlfn.CONCAT(Atakapa_Parsed_Corpus[[#This Row],[Gloss.2]],"    ",Atakapa_Parsed_Corpus[[#This Row],[Gloss.4]])</f>
        <v>2SSTATS-1SO-see-NEG Q    </v>
      </c>
      <c r="J155" s="0" t="s">
        <v>914</v>
      </c>
      <c r="K155" s="3" t="s">
        <v>915</v>
      </c>
    </row>
    <row r="156" customFormat="false" ht="15" hidden="false" customHeight="false" outlineLevel="0" collapsed="false">
      <c r="A156" s="0" t="n">
        <v>184</v>
      </c>
      <c r="B156" s="0" t="s">
        <v>441</v>
      </c>
      <c r="C156" s="0" t="s">
        <v>916</v>
      </c>
      <c r="D156" s="0" t="s">
        <v>917</v>
      </c>
      <c r="E156" s="0" t="s">
        <v>444</v>
      </c>
      <c r="H156" s="0" t="str">
        <f aca="false">_xlfn.CONCAT(Atakapa_Parsed_Corpus[[#This Row],[Gloss.1]],"    ",Atakapa_Parsed_Corpus[[#This Row],[Gloss.3]])</f>
        <v>paknaw-waŋ-ne  n̥-hi-oŋš    </v>
      </c>
      <c r="I156" s="0" t="str">
        <f aca="false">_xlfn.CONCAT(Atakapa_Parsed_Corpus[[#This Row],[Gloss.2]],"    ",Atakapa_Parsed_Corpus[[#This Row],[Gloss.4]])</f>
        <v>run-go.about-GER 2SO-1SSTATS-not.to.want    </v>
      </c>
      <c r="J156" s="0" t="s">
        <v>445</v>
      </c>
      <c r="K156" s="3" t="s">
        <v>918</v>
      </c>
    </row>
    <row r="157" customFormat="false" ht="15" hidden="false" customHeight="false" outlineLevel="0" collapsed="false">
      <c r="A157" s="0" t="n">
        <v>185</v>
      </c>
      <c r="C157" s="0" t="s">
        <v>242</v>
      </c>
      <c r="D157" s="0" t="s">
        <v>243</v>
      </c>
      <c r="E157" s="0" t="s">
        <v>244</v>
      </c>
      <c r="H157" s="0" t="str">
        <f aca="false">_xlfn.CONCAT(Atakapa_Parsed_Corpus[[#This Row],[Gloss.1]],"    ",Atakapa_Parsed_Corpus[[#This Row],[Gloss.3]])</f>
        <v>nak-šak-aƛiš-at    </v>
      </c>
      <c r="I157" s="0" t="str">
        <f aca="false">_xlfn.CONCAT(Atakapa_Parsed_Corpus[[#This Row],[Gloss.2]],"    ",Atakapa_Parsed_Corpus[[#This Row],[Gloss.4]])</f>
        <v>2PLSTATS-3PLOBJ-lose-PRET    </v>
      </c>
      <c r="J157" s="0" t="s">
        <v>245</v>
      </c>
      <c r="K157" s="3" t="s">
        <v>919</v>
      </c>
    </row>
    <row r="158" customFormat="false" ht="15" hidden="false" customHeight="false" outlineLevel="0" collapsed="false">
      <c r="A158" s="0" t="n">
        <v>186</v>
      </c>
      <c r="B158" s="0" t="s">
        <v>920</v>
      </c>
      <c r="C158" s="0" t="s">
        <v>293</v>
      </c>
      <c r="D158" s="0" t="s">
        <v>294</v>
      </c>
      <c r="E158" s="0" t="s">
        <v>295</v>
      </c>
      <c r="H158" s="0" t="str">
        <f aca="false">_xlfn.CONCAT(Atakapa_Parsed_Corpus[[#This Row],[Gloss.1]],"    ",Atakapa_Parsed_Corpus[[#This Row],[Gloss.3]])</f>
        <v>wi-iš a   šok-hi-hu-kit-hahš    </v>
      </c>
      <c r="I158" s="0" t="str">
        <f aca="false">_xlfn.CONCAT(Atakapa_Parsed_Corpus[[#This Row],[Gloss.2]],"    ",Atakapa_Parsed_Corpus[[#This Row],[Gloss.4]])</f>
        <v>I-foc this sth-1SSTATS-see-PROG(SG)-NEG    </v>
      </c>
      <c r="J158" s="0" t="s">
        <v>296</v>
      </c>
      <c r="K158" s="3" t="s">
        <v>921</v>
      </c>
    </row>
    <row r="159" customFormat="false" ht="15" hidden="false" customHeight="false" outlineLevel="0" collapsed="false">
      <c r="A159" s="0" t="n">
        <v>187</v>
      </c>
      <c r="B159" s="0" t="s">
        <v>922</v>
      </c>
      <c r="C159" s="0" t="s">
        <v>923</v>
      </c>
      <c r="D159" s="0" t="s">
        <v>924</v>
      </c>
      <c r="E159" s="0" t="s">
        <v>925</v>
      </c>
      <c r="H159" s="0" t="str">
        <f aca="false">_xlfn.CONCAT(Atakapa_Parsed_Corpus[[#This Row],[Gloss.1]],"    ",Atakapa_Parsed_Corpus[[#This Row],[Gloss.3]])</f>
        <v>šok-hi-wanc-ø    </v>
      </c>
      <c r="I159" s="0" t="str">
        <f aca="false">_xlfn.CONCAT(Atakapa_Parsed_Corpus[[#This Row],[Gloss.2]],"    ",Atakapa_Parsed_Corpus[[#This Row],[Gloss.4]])</f>
        <v>STH-1SO-tell.to-2SIMP    </v>
      </c>
      <c r="J159" s="0" t="s">
        <v>926</v>
      </c>
      <c r="K159" s="3" t="s">
        <v>927</v>
      </c>
    </row>
    <row r="160" customFormat="false" ht="15" hidden="false" customHeight="false" outlineLevel="0" collapsed="false">
      <c r="A160" s="0" t="n">
        <v>188</v>
      </c>
      <c r="B160" s="0" t="s">
        <v>928</v>
      </c>
      <c r="C160" s="0" t="s">
        <v>929</v>
      </c>
      <c r="D160" s="0" t="s">
        <v>930</v>
      </c>
      <c r="E160" s="0" t="s">
        <v>931</v>
      </c>
      <c r="H160" s="0" t="str">
        <f aca="false">_xlfn.CONCAT(Atakapa_Parsed_Corpus[[#This Row],[Gloss.1]],"    ",Atakapa_Parsed_Corpus[[#This Row],[Gloss.3]])</f>
        <v>wi·š hi-wiw-hah          šok-n̥ -wan-kit    </v>
      </c>
      <c r="I160" s="0" t="str">
        <f aca="false">_xlfn.CONCAT(Atakapa_Parsed_Corpus[[#This Row],[Gloss.2]],"    ",Atakapa_Parsed_Corpus[[#This Row],[Gloss.4]])</f>
        <v>I-FOC 1SSTAT-believe-NEG STH-2SSTATS-say-PROG    </v>
      </c>
      <c r="J160" s="0" t="s">
        <v>932</v>
      </c>
      <c r="K160" s="3" t="s">
        <v>933</v>
      </c>
    </row>
    <row r="161" customFormat="false" ht="15" hidden="false" customHeight="false" outlineLevel="0" collapsed="false">
      <c r="A161" s="0" t="n">
        <v>192</v>
      </c>
      <c r="B161" s="0" t="s">
        <v>934</v>
      </c>
      <c r="C161" s="0" t="s">
        <v>935</v>
      </c>
      <c r="D161" s="0" t="s">
        <v>936</v>
      </c>
      <c r="E161" s="0" t="s">
        <v>937</v>
      </c>
      <c r="H161" s="0" t="str">
        <f aca="false">_xlfn.CONCAT(Atakapa_Parsed_Corpus[[#This Row],[Gloss.1]],"    ",Atakapa_Parsed_Corpus[[#This Row],[Gloss.3]])</f>
        <v>neš  hicon     kew-šak-ø-kuc-kit    </v>
      </c>
      <c r="I161" s="0" t="str">
        <f aca="false">_xlfn.CONCAT(Atakapa_Parsed_Corpus[[#This Row],[Gloss.2]],"    ",Atakapa_Parsed_Corpus[[#This Row],[Gloss.4]])</f>
        <v>wood small(inan.) SIT-3PLO-3STATS-cut-PROG    </v>
      </c>
      <c r="J161" s="0" t="s">
        <v>938</v>
      </c>
      <c r="K161" s="3" t="s">
        <v>939</v>
      </c>
    </row>
    <row r="162" customFormat="false" ht="15" hidden="false" customHeight="false" outlineLevel="0" collapsed="false">
      <c r="A162" s="0" t="n">
        <v>193</v>
      </c>
      <c r="B162" s="0" t="s">
        <v>940</v>
      </c>
      <c r="C162" s="0" t="s">
        <v>941</v>
      </c>
      <c r="D162" s="0" t="s">
        <v>942</v>
      </c>
      <c r="E162" s="0" t="s">
        <v>943</v>
      </c>
      <c r="H162" s="0" t="str">
        <f aca="false">_xlfn.CONCAT(Atakapa_Parsed_Corpus[[#This Row],[Gloss.1]],"    ",Atakapa_Parsed_Corpus[[#This Row],[Gloss.3]])</f>
        <v>wi-iš kew-šak-yulš-ki-nt-o·    </v>
      </c>
      <c r="I162" s="0" t="str">
        <f aca="false">_xlfn.CONCAT(Atakapa_Parsed_Corpus[[#This Row],[Gloss.2]],"    ",Atakapa_Parsed_Corpus[[#This Row],[Gloss.4]])</f>
        <v>I-FOC SIT-3PLO-write-1SS-CONTIN-PHR.TERM    </v>
      </c>
      <c r="J162" s="0" t="s">
        <v>944</v>
      </c>
      <c r="K162" s="3" t="s">
        <v>945</v>
      </c>
    </row>
    <row r="163" customFormat="false" ht="15" hidden="false" customHeight="false" outlineLevel="0" collapsed="false">
      <c r="A163" s="0" t="n">
        <v>194</v>
      </c>
      <c r="B163" s="0" t="s">
        <v>946</v>
      </c>
      <c r="C163" s="0" t="s">
        <v>947</v>
      </c>
      <c r="D163" s="0" t="s">
        <v>948</v>
      </c>
      <c r="E163" s="0" t="s">
        <v>949</v>
      </c>
      <c r="H163" s="0" t="str">
        <f aca="false">_xlfn.CONCAT(Atakapa_Parsed_Corpus[[#This Row],[Gloss.1]],"    ",Atakapa_Parsed_Corpus[[#This Row],[Gloss.3]])</f>
        <v>wi-iš kew-ƛukš-o=ya           šok-yulš-o·    </v>
      </c>
      <c r="I163" s="0" t="str">
        <f aca="false">_xlfn.CONCAT(Atakapa_Parsed_Corpus[[#This Row],[Gloss.2]],"    ",Atakapa_Parsed_Corpus[[#This Row],[Gloss.4]])</f>
        <v>I-FOC SIT-smoke.tobacco-1SS=and STH-write-1SS    </v>
      </c>
      <c r="J163" s="0" t="s">
        <v>950</v>
      </c>
      <c r="K163" s="3" t="s">
        <v>951</v>
      </c>
    </row>
    <row r="164" customFormat="false" ht="15" hidden="false" customHeight="false" outlineLevel="0" collapsed="false">
      <c r="A164" s="0" t="n">
        <v>196</v>
      </c>
      <c r="B164" s="0" t="s">
        <v>952</v>
      </c>
      <c r="C164" s="0" t="s">
        <v>953</v>
      </c>
      <c r="D164" s="0" t="s">
        <v>954</v>
      </c>
      <c r="E164" s="0" t="s">
        <v>955</v>
      </c>
      <c r="H164" s="0" t="str">
        <f aca="false">_xlfn.CONCAT(Atakapa_Parsed_Corpus[[#This Row],[Gloss.1]],"    ",Atakapa_Parsed_Corpus[[#This Row],[Gloss.3]])</f>
        <v>šokhiš    kew-ø-hec-kit    </v>
      </c>
      <c r="I164" s="0" t="str">
        <f aca="false">_xlfn.CONCAT(Atakapa_Parsed_Corpus[[#This Row],[Gloss.2]],"    ",Atakapa_Parsed_Corpus[[#This Row],[Gloss.4]])</f>
        <v>plant     SIT-3STATS-grow-PROG(SG)    </v>
      </c>
      <c r="J164" s="0" t="s">
        <v>956</v>
      </c>
      <c r="K164" s="3" t="s">
        <v>957</v>
      </c>
    </row>
    <row r="165" customFormat="false" ht="15" hidden="false" customHeight="false" outlineLevel="0" collapsed="false">
      <c r="A165" s="0" t="n">
        <v>197</v>
      </c>
      <c r="B165" s="0" t="s">
        <v>958</v>
      </c>
      <c r="C165" s="0" t="s">
        <v>959</v>
      </c>
      <c r="D165" s="0" t="s">
        <v>960</v>
      </c>
      <c r="E165" s="0" t="s">
        <v>961</v>
      </c>
      <c r="H165" s="0" t="str">
        <f aca="false">_xlfn.CONCAT(Atakapa_Parsed_Corpus[[#This Row],[Gloss.1]],"    ",Atakapa_Parsed_Corpus[[#This Row],[Gloss.3]])</f>
        <v>taw-hat-ø-wen-at         oc-ot-tá·t-ot    </v>
      </c>
      <c r="I165" s="0" t="str">
        <f aca="false">_xlfn.CONCAT(Atakapa_Parsed_Corpus[[#This Row],[Gloss.2]],"    ",Atakapa_Parsed_Corpus[[#This Row],[Gloss.4]])</f>
        <v>stand-REFLEX-3STATS-pray-PRET above-DIR-stand-DIR    </v>
      </c>
      <c r="J165" s="0" t="s">
        <v>962</v>
      </c>
      <c r="K165" s="3" t="s">
        <v>963</v>
      </c>
    </row>
    <row r="166" customFormat="false" ht="15" hidden="false" customHeight="false" outlineLevel="0" collapsed="false">
      <c r="A166" s="0" t="n">
        <v>198</v>
      </c>
      <c r="B166" s="0" t="s">
        <v>124</v>
      </c>
      <c r="C166" s="0" t="s">
        <v>125</v>
      </c>
      <c r="D166" s="0" t="s">
        <v>126</v>
      </c>
      <c r="E166" s="0" t="s">
        <v>127</v>
      </c>
      <c r="H166" s="0" t="str">
        <f aca="false">_xlfn.CONCAT(Atakapa_Parsed_Corpus[[#This Row],[Gloss.1]],"    ",Atakapa_Parsed_Corpus[[#This Row],[Gloss.3]])</f>
        <v>taw-šok-ø-koy-kit    </v>
      </c>
      <c r="I166" s="0" t="str">
        <f aca="false">_xlfn.CONCAT(Atakapa_Parsed_Corpus[[#This Row],[Gloss.2]],"    ",Atakapa_Parsed_Corpus[[#This Row],[Gloss.4]])</f>
        <v>STAND-STH-3STATS-say-PROG    </v>
      </c>
      <c r="J166" s="0" t="s">
        <v>128</v>
      </c>
      <c r="K166" s="3" t="s">
        <v>964</v>
      </c>
    </row>
    <row r="167" customFormat="false" ht="15" hidden="false" customHeight="false" outlineLevel="0" collapsed="false">
      <c r="A167" s="0" t="n">
        <v>200</v>
      </c>
      <c r="B167" s="0" t="s">
        <v>322</v>
      </c>
      <c r="C167" s="0" t="s">
        <v>323</v>
      </c>
      <c r="D167" s="0" t="s">
        <v>324</v>
      </c>
      <c r="E167" s="0" t="s">
        <v>965</v>
      </c>
      <c r="H167" s="0" t="str">
        <f aca="false">_xlfn.CONCAT(Atakapa_Parsed_Corpus[[#This Row],[Gloss.1]],"    ",Atakapa_Parsed_Corpus[[#This Row],[Gloss.3]])</f>
        <v>naw       taw-ø-walwalš-tit    </v>
      </c>
      <c r="I167" s="0" t="str">
        <f aca="false">_xlfn.CONCAT(Atakapa_Parsed_Corpus[[#This Row],[Gloss.2]],"    ",Atakapa_Parsed_Corpus[[#This Row],[Gloss.4]])</f>
        <v>feather   STAND-3STATS-wave-PROG(PL)    </v>
      </c>
      <c r="J167" s="0" t="s">
        <v>966</v>
      </c>
      <c r="K167" s="3" t="s">
        <v>967</v>
      </c>
    </row>
    <row r="168" customFormat="false" ht="15" hidden="false" customHeight="false" outlineLevel="0" collapsed="false">
      <c r="A168" s="0" t="n">
        <v>201</v>
      </c>
      <c r="B168" s="0" t="s">
        <v>968</v>
      </c>
      <c r="C168" s="0" t="s">
        <v>969</v>
      </c>
      <c r="D168" s="0" t="s">
        <v>970</v>
      </c>
      <c r="E168" s="0" t="s">
        <v>971</v>
      </c>
      <c r="H168" s="0" t="str">
        <f aca="false">_xlfn.CONCAT(Atakapa_Parsed_Corpus[[#This Row],[Gloss.1]],"    ",Atakapa_Parsed_Corpus[[#This Row],[Gloss.3]])</f>
        <v>taw-ø-iki·k-kit          kawkaw    </v>
      </c>
      <c r="I168" s="0" t="str">
        <f aca="false">_xlfn.CONCAT(Atakapa_Parsed_Corpus[[#This Row],[Gloss.2]],"    ",Atakapa_Parsed_Corpus[[#This Row],[Gloss.4]])</f>
        <v>STAND-3STATS-drip-PROG(SG) water    </v>
      </c>
      <c r="J168" s="0" t="s">
        <v>972</v>
      </c>
      <c r="K168" s="3" t="s">
        <v>973</v>
      </c>
    </row>
    <row r="169" customFormat="false" ht="15" hidden="false" customHeight="false" outlineLevel="0" collapsed="false">
      <c r="A169" s="0" t="n">
        <v>202</v>
      </c>
      <c r="B169" s="0" t="s">
        <v>974</v>
      </c>
      <c r="C169" s="0" t="s">
        <v>975</v>
      </c>
      <c r="D169" s="0" t="s">
        <v>976</v>
      </c>
      <c r="E169" s="0" t="s">
        <v>977</v>
      </c>
      <c r="H169" s="0" t="str">
        <f aca="false">_xlfn.CONCAT(Atakapa_Parsed_Corpus[[#This Row],[Gloss.1]],"    ",Atakapa_Parsed_Corpus[[#This Row],[Gloss.3]])</f>
        <v>iša·k     ø-cow-piš-tit    </v>
      </c>
      <c r="I169" s="0" t="str">
        <f aca="false">_xlfn.CONCAT(Atakapa_Parsed_Corpus[[#This Row],[Gloss.2]],"    ",Atakapa_Parsed_Corpus[[#This Row],[Gloss.4]])</f>
        <v>person    3STATS-STAND(PL)-twist-PROG(PL)    </v>
      </c>
      <c r="J169" s="0" t="s">
        <v>978</v>
      </c>
      <c r="K169" s="3" t="s">
        <v>979</v>
      </c>
    </row>
    <row r="170" customFormat="false" ht="15" hidden="false" customHeight="false" outlineLevel="0" collapsed="false">
      <c r="A170" s="0" t="n">
        <v>203</v>
      </c>
      <c r="B170" s="0" t="s">
        <v>755</v>
      </c>
      <c r="C170" s="0" t="s">
        <v>756</v>
      </c>
      <c r="D170" s="0" t="s">
        <v>757</v>
      </c>
      <c r="E170" s="0" t="s">
        <v>980</v>
      </c>
      <c r="F170" s="0" t="s">
        <v>759</v>
      </c>
      <c r="G170" s="0" t="s">
        <v>760</v>
      </c>
      <c r="H170" s="0" t="str">
        <f aca="false">_xlfn.CONCAT(Atakapa_Parsed_Corpus[[#This Row],[Gloss.1]],"    ",Atakapa_Parsed_Corpus[[#This Row],[Gloss.3]])</f>
        <v>tik-ø-hu-koh-at          ø-kaw-hahš-tan tiš    ø-awš-at</v>
      </c>
      <c r="I170" s="0" t="str">
        <f aca="false">_xlfn.CONCAT(Atakapa_Parsed_Corpus[[#This Row],[Gloss.2]],"    ",Atakapa_Parsed_Corpus[[#This Row],[Gloss.4]])</f>
        <v>GO.AND-3STATS-see-DESID-PRET 3STATS-die-NEG-ASP go    3STATS-not.be.able-PRET</v>
      </c>
      <c r="J170" s="0" t="s">
        <v>981</v>
      </c>
      <c r="K170" s="3" t="s">
        <v>982</v>
      </c>
    </row>
    <row r="171" customFormat="false" ht="15" hidden="false" customHeight="false" outlineLevel="0" collapsed="false">
      <c r="A171" s="0" t="n">
        <v>204</v>
      </c>
      <c r="B171" s="0" t="s">
        <v>983</v>
      </c>
      <c r="C171" s="0" t="s">
        <v>984</v>
      </c>
      <c r="D171" s="0" t="s">
        <v>27</v>
      </c>
      <c r="E171" s="0" t="s">
        <v>985</v>
      </c>
      <c r="H171" s="0" t="str">
        <f aca="false">_xlfn.CONCAT(Atakapa_Parsed_Corpus[[#This Row],[Gloss.1]],"    ",Atakapa_Parsed_Corpus[[#This Row],[Gloss.3]])</f>
        <v>hiku wi   nuk  tik-hi-ka-koh    </v>
      </c>
      <c r="I171" s="0" t="str">
        <f aca="false">_xlfn.CONCAT(Atakapa_Parsed_Corpus[[#This Row],[Gloss.2]],"    ",Atakapa_Parsed_Corpus[[#This Row],[Gloss.4]])</f>
        <v>soup I    self GO.AND-1SSTATS-make-DESID    </v>
      </c>
      <c r="J171" s="0" t="s">
        <v>29</v>
      </c>
      <c r="K171" s="3" t="s">
        <v>986</v>
      </c>
    </row>
    <row r="172" customFormat="false" ht="15" hidden="false" customHeight="false" outlineLevel="0" collapsed="false">
      <c r="A172" s="0" t="n">
        <v>205</v>
      </c>
      <c r="B172" s="0" t="s">
        <v>987</v>
      </c>
      <c r="C172" s="0" t="s">
        <v>988</v>
      </c>
      <c r="D172" s="0" t="s">
        <v>989</v>
      </c>
      <c r="E172" s="0" t="s">
        <v>990</v>
      </c>
      <c r="H172" s="0" t="str">
        <f aca="false">_xlfn.CONCAT(Atakapa_Parsed_Corpus[[#This Row],[Gloss.1]],"    ",Atakapa_Parsed_Corpus[[#This Row],[Gloss.3]])</f>
        <v>tik-hu-o    </v>
      </c>
      <c r="I172" s="0" t="str">
        <f aca="false">_xlfn.CONCAT(Atakapa_Parsed_Corpus[[#This Row],[Gloss.2]],"    ",Atakapa_Parsed_Corpus[[#This Row],[Gloss.4]])</f>
        <v>GO.AND-see-1SS    </v>
      </c>
      <c r="J172" s="0" t="s">
        <v>991</v>
      </c>
      <c r="K172" s="3" t="s">
        <v>992</v>
      </c>
    </row>
    <row r="173" customFormat="false" ht="15" hidden="false" customHeight="false" outlineLevel="0" collapsed="false">
      <c r="A173" s="0" t="n">
        <v>207</v>
      </c>
      <c r="B173" s="0" t="s">
        <v>872</v>
      </c>
      <c r="C173" s="0" t="s">
        <v>873</v>
      </c>
      <c r="D173" s="0" t="s">
        <v>874</v>
      </c>
      <c r="E173" s="0" t="s">
        <v>875</v>
      </c>
      <c r="F173" s="0" t="s">
        <v>876</v>
      </c>
      <c r="G173" s="0" t="s">
        <v>993</v>
      </c>
      <c r="H173" s="0" t="str">
        <f aca="false">_xlfn.CONCAT(Atakapa_Parsed_Corpus[[#This Row],[Gloss.1]],"    ",Atakapa_Parsed_Corpus[[#This Row],[Gloss.3]])</f>
        <v>wiw-ul-at      iša·k     šak-pihk  tan-hew    ok-šak-hu-ul-at</v>
      </c>
      <c r="I173" s="0" t="str">
        <f aca="false">_xlfn.CONCAT(Atakapa_Parsed_Corpus[[#This Row],[Gloss.2]],"    ",Atakapa_Parsed_Corpus[[#This Row],[Gloss.4]])</f>
        <v>believe-3PLS-PRET person PL-die(pl) other-PL    COME.AND-3PLO-see-3PLS-PRET</v>
      </c>
      <c r="J173" s="0" t="s">
        <v>994</v>
      </c>
      <c r="K173" s="3" t="s">
        <v>995</v>
      </c>
    </row>
    <row r="174" customFormat="false" ht="15" hidden="false" customHeight="false" outlineLevel="0" collapsed="false">
      <c r="A174" s="0" t="n">
        <v>208</v>
      </c>
      <c r="B174" s="0" t="s">
        <v>996</v>
      </c>
      <c r="C174" s="0" t="s">
        <v>997</v>
      </c>
      <c r="D174" s="0" t="s">
        <v>998</v>
      </c>
      <c r="E174" s="0" t="s">
        <v>999</v>
      </c>
      <c r="H174" s="0" t="str">
        <f aca="false">_xlfn.CONCAT(Atakapa_Parsed_Corpus[[#This Row],[Gloss.1]],"    ",Atakapa_Parsed_Corpus[[#This Row],[Gloss.3]])</f>
        <v>ok-hi-ø-hu-at    </v>
      </c>
      <c r="I174" s="0" t="str">
        <f aca="false">_xlfn.CONCAT(Atakapa_Parsed_Corpus[[#This Row],[Gloss.2]],"    ",Atakapa_Parsed_Corpus[[#This Row],[Gloss.4]])</f>
        <v>COME.AND-1SO-3STATS-see-PRET    </v>
      </c>
      <c r="J174" s="0" t="s">
        <v>1000</v>
      </c>
      <c r="K174" s="3" t="s">
        <v>1001</v>
      </c>
    </row>
    <row r="175" customFormat="false" ht="15" hidden="false" customHeight="false" outlineLevel="0" collapsed="false">
      <c r="A175" s="0" t="n">
        <v>209</v>
      </c>
      <c r="B175" s="0" t="s">
        <v>643</v>
      </c>
      <c r="C175" s="0" t="s">
        <v>1002</v>
      </c>
      <c r="D175" s="0" t="s">
        <v>1003</v>
      </c>
      <c r="E175" s="0" t="s">
        <v>1004</v>
      </c>
      <c r="H175" s="0" t="str">
        <f aca="false">_xlfn.CONCAT(Atakapa_Parsed_Corpus[[#This Row],[Gloss.1]],"    ",Atakapa_Parsed_Corpus[[#This Row],[Gloss.3]])</f>
        <v>wi   nuŋ-ot    pay-hi-tiš-koh    </v>
      </c>
      <c r="I175" s="0" t="str">
        <f aca="false">_xlfn.CONCAT(Atakapa_Parsed_Corpus[[#This Row],[Gloss.2]],"    ",Atakapa_Parsed_Corpus[[#This Row],[Gloss.4]])</f>
        <v>my   village-DIR BACK-1SSTATS-go-DESID    </v>
      </c>
      <c r="J175" s="0" t="s">
        <v>647</v>
      </c>
      <c r="K175" s="3" t="s">
        <v>1005</v>
      </c>
    </row>
    <row r="176" customFormat="false" ht="15" hidden="false" customHeight="false" outlineLevel="0" collapsed="false">
      <c r="A176" s="0" t="n">
        <v>210</v>
      </c>
      <c r="C176" s="0" t="s">
        <v>1006</v>
      </c>
      <c r="D176" s="0" t="s">
        <v>1007</v>
      </c>
      <c r="E176" s="0" t="s">
        <v>1008</v>
      </c>
      <c r="H176" s="0" t="str">
        <f aca="false">_xlfn.CONCAT(Atakapa_Parsed_Corpus[[#This Row],[Gloss.1]],"    ",Atakapa_Parsed_Corpus[[#This Row],[Gloss.3]])</f>
        <v>ití  tanuk-ip  yil  tutnan    o·l  pay-ø-moh-at    </v>
      </c>
      <c r="I176" s="0" t="str">
        <f aca="false">_xlfn.CONCAT(Atakapa_Parsed_Corpus[[#This Row],[Gloss.2]],"    ",Atakapa_Parsed_Corpus[[#This Row],[Gloss.4]])</f>
        <v>night one-INESS day before    near BACK-3STATS-return-PRET    </v>
      </c>
      <c r="J176" s="0" t="s">
        <v>1009</v>
      </c>
      <c r="K176" s="3" t="s">
        <v>1010</v>
      </c>
    </row>
    <row r="177" customFormat="false" ht="15" hidden="false" customHeight="false" outlineLevel="0" collapsed="false">
      <c r="A177" s="0" t="n">
        <v>211</v>
      </c>
      <c r="B177" s="0" t="s">
        <v>1011</v>
      </c>
      <c r="C177" s="0" t="s">
        <v>1012</v>
      </c>
      <c r="D177" s="0" t="s">
        <v>1013</v>
      </c>
      <c r="E177" s="0" t="s">
        <v>1014</v>
      </c>
      <c r="H177" s="0" t="str">
        <f aca="false">_xlfn.CONCAT(Atakapa_Parsed_Corpus[[#This Row],[Gloss.1]],"    ",Atakapa_Parsed_Corpus[[#This Row],[Gloss.3]])</f>
        <v>pay-ø-tol-uš-at          wi-ot    </v>
      </c>
      <c r="I177" s="0" t="str">
        <f aca="false">_xlfn.CONCAT(Atakapa_Parsed_Corpus[[#This Row],[Gloss.2]],"    ",Atakapa_Parsed_Corpus[[#This Row],[Gloss.4]])</f>
        <v>BACK-3STATS-be.good-be.true-PRET I-DIR    </v>
      </c>
      <c r="J177" s="0" t="s">
        <v>1015</v>
      </c>
      <c r="K177" s="3" t="s">
        <v>1016</v>
      </c>
    </row>
    <row r="178" customFormat="false" ht="15" hidden="false" customHeight="false" outlineLevel="0" collapsed="false">
      <c r="A178" s="0" t="n">
        <v>212</v>
      </c>
      <c r="B178" s="0" t="s">
        <v>1017</v>
      </c>
      <c r="C178" s="0" t="s">
        <v>1018</v>
      </c>
      <c r="D178" s="0" t="s">
        <v>1019</v>
      </c>
      <c r="E178" s="0" t="s">
        <v>1020</v>
      </c>
      <c r="H178" s="0" t="str">
        <f aca="false">_xlfn.CONCAT(Atakapa_Parsed_Corpus[[#This Row],[Gloss.1]],"    ",Atakapa_Parsed_Corpus[[#This Row],[Gloss.3]])</f>
        <v>kica·k    pay-hewš       ø-am-at    </v>
      </c>
      <c r="I178" s="0" t="str">
        <f aca="false">_xlfn.CONCAT(Atakapa_Parsed_Corpus[[#This Row],[Gloss.2]],"    ",Atakapa_Parsed_Corpus[[#This Row],[Gloss.4]])</f>
        <v>whiskey   BACK-be.much   3STATS-drink-PRET    </v>
      </c>
      <c r="J178" s="0" t="s">
        <v>1021</v>
      </c>
      <c r="K178" s="3" t="s">
        <v>1022</v>
      </c>
    </row>
    <row r="179" customFormat="false" ht="15" hidden="false" customHeight="false" outlineLevel="0" collapsed="false">
      <c r="A179" s="0" t="n">
        <v>213</v>
      </c>
      <c r="B179" s="0" t="s">
        <v>1023</v>
      </c>
      <c r="C179" s="0" t="s">
        <v>1024</v>
      </c>
      <c r="D179" s="0" t="s">
        <v>1025</v>
      </c>
      <c r="E179" s="0" t="s">
        <v>1026</v>
      </c>
      <c r="H179" s="0" t="str">
        <f aca="false">_xlfn.CONCAT(Atakapa_Parsed_Corpus[[#This Row],[Gloss.1]],"    ",Atakapa_Parsed_Corpus[[#This Row],[Gloss.3]])</f>
        <v>pay-ø-hec-uš    </v>
      </c>
      <c r="I179" s="0" t="str">
        <f aca="false">_xlfn.CONCAT(Atakapa_Parsed_Corpus[[#This Row],[Gloss.2]],"    ",Atakapa_Parsed_Corpus[[#This Row],[Gloss.4]])</f>
        <v>BACK-3STATS-be.big-be.true    </v>
      </c>
      <c r="J179" s="0" t="s">
        <v>1027</v>
      </c>
      <c r="K179" s="3" t="s">
        <v>1028</v>
      </c>
    </row>
    <row r="180" customFormat="false" ht="15" hidden="false" customHeight="false" outlineLevel="0" collapsed="false">
      <c r="A180" s="0" t="n">
        <v>214</v>
      </c>
      <c r="C180" s="0" t="s">
        <v>1029</v>
      </c>
      <c r="D180" s="0" t="s">
        <v>1030</v>
      </c>
      <c r="E180" s="0" t="s">
        <v>1031</v>
      </c>
      <c r="H180" s="0" t="str">
        <f aca="false">_xlfn.CONCAT(Atakapa_Parsed_Corpus[[#This Row],[Gloss.1]],"    ",Atakapa_Parsed_Corpus[[#This Row],[Gloss.3]])</f>
        <v>hiyik-taˑt-o    </v>
      </c>
      <c r="I180" s="0" t="str">
        <f aca="false">_xlfn.CONCAT(Atakapa_Parsed_Corpus[[#This Row],[Gloss.2]],"    ",Atakapa_Parsed_Corpus[[#This Row],[Gloss.4]])</f>
        <v>UPWARDS-stand(sg)-1SS    </v>
      </c>
      <c r="J180" s="0" t="s">
        <v>1032</v>
      </c>
      <c r="K180" s="3" t="s">
        <v>1033</v>
      </c>
    </row>
    <row r="181" customFormat="false" ht="15" hidden="false" customHeight="false" outlineLevel="0" collapsed="false">
      <c r="A181" s="0" t="n">
        <v>215</v>
      </c>
      <c r="B181" s="0" t="s">
        <v>1034</v>
      </c>
      <c r="C181" s="0" t="s">
        <v>1035</v>
      </c>
      <c r="D181" s="0" t="s">
        <v>1036</v>
      </c>
      <c r="E181" s="0" t="s">
        <v>1037</v>
      </c>
      <c r="H181" s="0" t="str">
        <f aca="false">_xlfn.CONCAT(Atakapa_Parsed_Corpus[[#This Row],[Gloss.1]],"    ",Atakapa_Parsed_Corpus[[#This Row],[Gloss.3]])</f>
        <v>wi   hiyik-tá·t-šok-yúl-ki-nt-oˑ    </v>
      </c>
      <c r="I181" s="0" t="str">
        <f aca="false">_xlfn.CONCAT(Atakapa_Parsed_Corpus[[#This Row],[Gloss.2]],"    ",Atakapa_Parsed_Corpus[[#This Row],[Gloss.4]])</f>
        <v>I    UPWARDS-stand(sg)-sth-write-1SS-CONTIN-PHR.TERM    </v>
      </c>
      <c r="J181" s="0" t="s">
        <v>1038</v>
      </c>
      <c r="K181" s="3" t="s">
        <v>1039</v>
      </c>
    </row>
    <row r="182" customFormat="false" ht="15" hidden="false" customHeight="false" outlineLevel="0" collapsed="false">
      <c r="A182" s="0" t="n">
        <v>216</v>
      </c>
      <c r="B182" s="0" t="s">
        <v>1040</v>
      </c>
      <c r="C182" s="0" t="s">
        <v>1041</v>
      </c>
      <c r="D182" s="0" t="s">
        <v>1042</v>
      </c>
      <c r="E182" s="0" t="s">
        <v>1043</v>
      </c>
      <c r="H182" s="0" t="str">
        <f aca="false">_xlfn.CONCAT(Atakapa_Parsed_Corpus[[#This Row],[Gloss.1]],"    ",Atakapa_Parsed_Corpus[[#This Row],[Gloss.3]])</f>
        <v>pumpumš   hiyik-ø-púh-kit    </v>
      </c>
      <c r="I182" s="0" t="str">
        <f aca="false">_xlfn.CONCAT(Atakapa_Parsed_Corpus[[#This Row],[Gloss.2]],"    ",Atakapa_Parsed_Corpus[[#This Row],[Gloss.4]])</f>
        <v>flea      UPWARDS-3STATS-jump(sg)-PROG(SG)    </v>
      </c>
      <c r="J182" s="0" t="s">
        <v>1044</v>
      </c>
      <c r="K182" s="3" t="s">
        <v>1045</v>
      </c>
    </row>
    <row r="183" customFormat="false" ht="15" hidden="false" customHeight="false" outlineLevel="0" collapsed="false">
      <c r="A183" s="0" t="n">
        <v>217</v>
      </c>
      <c r="B183" s="0" t="s">
        <v>1046</v>
      </c>
      <c r="C183" s="0" t="s">
        <v>1047</v>
      </c>
      <c r="D183" s="0" t="s">
        <v>1048</v>
      </c>
      <c r="E183" s="0" t="s">
        <v>1049</v>
      </c>
      <c r="H183" s="0" t="str">
        <f aca="false">_xlfn.CONCAT(Atakapa_Parsed_Corpus[[#This Row],[Gloss.1]],"    ",Atakapa_Parsed_Corpus[[#This Row],[Gloss.3]])</f>
        <v>hiyik-pum-cel    </v>
      </c>
      <c r="I183" s="0" t="str">
        <f aca="false">_xlfn.CONCAT(Atakapa_Parsed_Corpus[[#This Row],[Gloss.2]],"    ",Atakapa_Parsed_Corpus[[#This Row],[Gloss.4]])</f>
        <v>UPWARDS-jump(pl)-1PLS    </v>
      </c>
      <c r="J183" s="0" t="s">
        <v>1050</v>
      </c>
      <c r="K183" s="3" t="s">
        <v>1051</v>
      </c>
    </row>
    <row r="184" customFormat="false" ht="15" hidden="false" customHeight="false" outlineLevel="0" collapsed="false">
      <c r="A184" s="0" t="n">
        <v>221</v>
      </c>
      <c r="B184" s="0" t="s">
        <v>1052</v>
      </c>
      <c r="C184" s="0" t="s">
        <v>1053</v>
      </c>
      <c r="D184" s="0" t="s">
        <v>1054</v>
      </c>
      <c r="E184" s="0" t="s">
        <v>1055</v>
      </c>
      <c r="H184" s="0" t="str">
        <f aca="false">_xlfn.CONCAT(Atakapa_Parsed_Corpus[[#This Row],[Gloss.1]],"    ",Atakapa_Parsed_Corpus[[#This Row],[Gloss.3]])</f>
        <v>wi   nuk  ik-hat-laš-n̥t-o·    </v>
      </c>
      <c r="I184" s="0" t="str">
        <f aca="false">_xlfn.CONCAT(Atakapa_Parsed_Corpus[[#This Row],[Gloss.2]],"    ",Atakapa_Parsed_Corpus[[#This Row],[Gloss.4]])</f>
        <v>I    self INSTR-shave-CONTIN-PHR.TERM    </v>
      </c>
      <c r="J184" s="0" t="s">
        <v>1056</v>
      </c>
      <c r="K184" s="3" t="s">
        <v>1057</v>
      </c>
    </row>
    <row r="185" customFormat="false" ht="15" hidden="false" customHeight="false" outlineLevel="0" collapsed="false">
      <c r="A185" s="0" t="n">
        <v>222</v>
      </c>
      <c r="B185" s="0" t="s">
        <v>1058</v>
      </c>
      <c r="C185" s="0" t="s">
        <v>1059</v>
      </c>
      <c r="D185" s="0" t="s">
        <v>1060</v>
      </c>
      <c r="E185" s="0" t="s">
        <v>1061</v>
      </c>
      <c r="F185" s="0" t="s">
        <v>1062</v>
      </c>
      <c r="G185" s="0" t="s">
        <v>1063</v>
      </c>
      <c r="H185" s="0" t="str">
        <f aca="false">_xlfn.CONCAT(Atakapa_Parsed_Corpus[[#This Row],[Gloss.1]],"    ",Atakapa_Parsed_Corpus[[#This Row],[Gloss.3]])</f>
        <v>iša·k šoke·š ø-kaw-kin   wiw-u-lat      šok  haceheš hiwew    ø-ka-at</v>
      </c>
      <c r="I185" s="0" t="str">
        <f aca="false">_xlfn.CONCAT(Atakapa_Parsed_Corpus[[#This Row],[Gloss.2]],"    ",Atakapa_Parsed_Corpus[[#This Row],[Gloss.4]])</f>
        <v>person sick 3STATS-die-WHEN believe-3PLS-PRET thing bad very    3STATS-do-PRET</v>
      </c>
      <c r="J185" s="0" t="s">
        <v>1064</v>
      </c>
      <c r="K185" s="3" t="s">
        <v>1065</v>
      </c>
    </row>
    <row r="186" customFormat="false" ht="15" hidden="false" customHeight="false" outlineLevel="0" collapsed="false">
      <c r="A186" s="0" t="n">
        <v>224</v>
      </c>
      <c r="B186" s="0" t="s">
        <v>1066</v>
      </c>
      <c r="C186" s="0" t="s">
        <v>1067</v>
      </c>
      <c r="D186" s="0" t="s">
        <v>1068</v>
      </c>
      <c r="E186" s="0" t="s">
        <v>1069</v>
      </c>
      <c r="H186" s="0" t="str">
        <f aca="false">_xlfn.CONCAT(Atakapa_Parsed_Corpus[[#This Row],[Gloss.1]],"    ",Atakapa_Parsed_Corpus[[#This Row],[Gloss.3]])</f>
        <v>yil  mo·n tay  o     hok-tiwe·     iš-waŋ-ehe    </v>
      </c>
      <c r="I186" s="0" t="str">
        <f aca="false">_xlfn.CONCAT(Atakapa_Parsed_Corpus[[#This Row],[Gloss.2]],"    ",Atakapa_Parsed_Corpus[[#This Row],[Gloss.4]])</f>
        <v>day  all  river beside RECIP-be.together 1PLSTATS-go.about-DUB    </v>
      </c>
      <c r="J186" s="0" t="s">
        <v>1070</v>
      </c>
      <c r="K186" s="3" t="s">
        <v>1071</v>
      </c>
    </row>
    <row r="187" customFormat="false" ht="15" hidden="false" customHeight="false" outlineLevel="0" collapsed="false">
      <c r="A187" s="0" t="n">
        <v>225</v>
      </c>
      <c r="B187" s="0" t="s">
        <v>1072</v>
      </c>
      <c r="C187" s="0" t="s">
        <v>1073</v>
      </c>
      <c r="D187" s="0" t="s">
        <v>1074</v>
      </c>
      <c r="E187" s="0" t="s">
        <v>1075</v>
      </c>
      <c r="H187" s="0" t="str">
        <f aca="false">_xlfn.CONCAT(Atakapa_Parsed_Corpus[[#This Row],[Gloss.1]],"    ",Atakapa_Parsed_Corpus[[#This Row],[Gloss.3]])</f>
        <v>ha   mo·ni     nak-ø-miš-at    </v>
      </c>
      <c r="I187" s="0" t="str">
        <f aca="false">_xlfn.CONCAT(Atakapa_Parsed_Corpus[[#This Row],[Gloss.2]],"    ",Atakapa_Parsed_Corpus[[#This Row],[Gloss.4]])</f>
        <v>he   all(animate) 2PLO-3STATS-give-PRET    </v>
      </c>
      <c r="J187" s="0" t="s">
        <v>1076</v>
      </c>
      <c r="K187" s="3" t="s">
        <v>1077</v>
      </c>
    </row>
    <row r="188" customFormat="false" ht="15" hidden="false" customHeight="false" outlineLevel="0" collapsed="false">
      <c r="A188" s="0" t="n">
        <v>226</v>
      </c>
      <c r="B188" s="0" t="s">
        <v>1078</v>
      </c>
      <c r="C188" s="0" t="s">
        <v>1079</v>
      </c>
      <c r="D188" s="0" t="s">
        <v>1080</v>
      </c>
      <c r="E188" s="0" t="s">
        <v>1081</v>
      </c>
      <c r="F188" s="0" t="s">
        <v>1082</v>
      </c>
      <c r="G188" s="0" t="s">
        <v>1083</v>
      </c>
      <c r="H188" s="0" t="str">
        <f aca="false">_xlfn.CONCAT(Atakapa_Parsed_Corpus[[#This Row],[Gloss.1]],"    ",Atakapa_Parsed_Corpus[[#This Row],[Gloss.3]])</f>
        <v>ilu  wošpe     hal-himatol atkaki  ø-kaw-at       ilu    wošpe     lacci·k   hinakka   ø-wašiŋ</v>
      </c>
      <c r="I188" s="0" t="str">
        <f aca="false">_xlfn.CONCAT(Atakapa_Parsed_Corpus[[#This Row],[Gloss.2]],"    ",Atakapa_Parsed_Corpus[[#This Row],[Gloss.4]])</f>
        <v>year ten       again-four ago      3STATS-die-PRET year    ten       six       like      3STATS-be.so.old</v>
      </c>
      <c r="J188" s="0" t="s">
        <v>1084</v>
      </c>
      <c r="K188" s="3" t="s">
        <v>1085</v>
      </c>
    </row>
    <row r="189" customFormat="false" ht="15" hidden="false" customHeight="false" outlineLevel="0" collapsed="false">
      <c r="A189" s="0" t="n">
        <v>227</v>
      </c>
      <c r="C189" s="0" t="s">
        <v>1086</v>
      </c>
      <c r="D189" s="0" t="s">
        <v>1087</v>
      </c>
      <c r="E189" s="0" t="s">
        <v>1088</v>
      </c>
      <c r="H189" s="0" t="str">
        <f aca="false">_xlfn.CONCAT(Atakapa_Parsed_Corpus[[#This Row],[Gloss.1]],"    ",Atakapa_Parsed_Corpus[[#This Row],[Gloss.3]])</f>
        <v>samti     ití  kuš,mel,me·l   pum  ka-ul-at    </v>
      </c>
      <c r="I189" s="0" t="str">
        <f aca="false">_xlfn.CONCAT(Atakapa_Parsed_Corpus[[#This Row],[Gloss.2]],"    ",Atakapa_Parsed_Corpus[[#This Row],[Gloss.4]])</f>
        <v>Saturday  night black.person,PL, dance make-3PLS-PRET    </v>
      </c>
      <c r="J189" s="0" t="s">
        <v>1089</v>
      </c>
      <c r="K189" s="3" t="s">
        <v>1090</v>
      </c>
    </row>
    <row r="190" customFormat="false" ht="15" hidden="false" customHeight="false" outlineLevel="0" collapsed="false">
      <c r="A190" s="0" t="n">
        <v>228</v>
      </c>
      <c r="B190" s="0" t="s">
        <v>1091</v>
      </c>
      <c r="C190" s="0" t="s">
        <v>1092</v>
      </c>
      <c r="D190" s="0" t="s">
        <v>1093</v>
      </c>
      <c r="E190" s="0" t="s">
        <v>1094</v>
      </c>
      <c r="H190" s="0" t="str">
        <f aca="false">_xlfn.CONCAT(Atakapa_Parsed_Corpus[[#This Row],[Gloss.1]],"    ",Atakapa_Parsed_Corpus[[#This Row],[Gloss.3]])</f>
        <v>kiwilš         hik-ul-at           town̥tawm̥    </v>
      </c>
      <c r="I190" s="0" t="str">
        <f aca="false">_xlfn.CONCAT(Atakapa_Parsed_Corpus[[#This Row],[Gloss.2]],"    ",Atakapa_Parsed_Corpus[[#This Row],[Gloss.4]])</f>
        <v>white.people   catch.sight.of-3PLS-PRET sometimes    </v>
      </c>
      <c r="J190" s="0" t="s">
        <v>1095</v>
      </c>
      <c r="K190" s="3" t="s">
        <v>1096</v>
      </c>
    </row>
    <row r="191" customFormat="false" ht="15" hidden="false" customHeight="false" outlineLevel="0" collapsed="false">
      <c r="A191" s="0" t="n">
        <v>229</v>
      </c>
      <c r="B191" s="0" t="s">
        <v>1097</v>
      </c>
      <c r="C191" s="0" t="s">
        <v>1098</v>
      </c>
      <c r="D191" s="0" t="s">
        <v>1099</v>
      </c>
      <c r="E191" s="0" t="s">
        <v>1100</v>
      </c>
      <c r="H191" s="0" t="str">
        <f aca="false">_xlfn.CONCAT(Atakapa_Parsed_Corpus[[#This Row],[Gloss.1]],"    ",Atakapa_Parsed_Corpus[[#This Row],[Gloss.3]])</f>
        <v>tiw       ø-kawkaw-kit    </v>
      </c>
      <c r="I191" s="0" t="str">
        <f aca="false">_xlfn.CONCAT(Atakapa_Parsed_Corpus[[#This Row],[Gloss.2]],"    ",Atakapa_Parsed_Corpus[[#This Row],[Gloss.4]])</f>
        <v>intensely 3STATS-rain-PROG(SG)    </v>
      </c>
      <c r="J191" s="0" t="s">
        <v>1101</v>
      </c>
      <c r="K191" s="3" t="s">
        <v>1102</v>
      </c>
    </row>
    <row r="192" customFormat="false" ht="15" hidden="false" customHeight="false" outlineLevel="0" collapsed="false">
      <c r="A192" s="0" t="n">
        <v>230</v>
      </c>
      <c r="B192" s="0" t="s">
        <v>1103</v>
      </c>
      <c r="C192" s="0" t="s">
        <v>1104</v>
      </c>
      <c r="D192" s="0" t="s">
        <v>1105</v>
      </c>
      <c r="E192" s="0" t="s">
        <v>1106</v>
      </c>
      <c r="H192" s="0" t="str">
        <f aca="false">_xlfn.CONCAT(Atakapa_Parsed_Corpus[[#This Row],[Gloss.1]],"    ",Atakapa_Parsed_Corpus[[#This Row],[Gloss.3]])</f>
        <v>tiwhc     ø-kawkaw-kit    </v>
      </c>
      <c r="I192" s="0" t="str">
        <f aca="false">_xlfn.CONCAT(Atakapa_Parsed_Corpus[[#This Row],[Gloss.2]],"    ",Atakapa_Parsed_Corpus[[#This Row],[Gloss.4]])</f>
        <v>gently    3STATS-rain-PROG(SG)    </v>
      </c>
      <c r="J192" s="0" t="s">
        <v>1107</v>
      </c>
      <c r="K192" s="3" t="s">
        <v>1108</v>
      </c>
    </row>
    <row r="193" customFormat="false" ht="15" hidden="false" customHeight="false" outlineLevel="0" collapsed="false">
      <c r="A193" s="0" t="n">
        <v>231</v>
      </c>
      <c r="B193" s="0" t="s">
        <v>1109</v>
      </c>
      <c r="C193" s="0" t="s">
        <v>1110</v>
      </c>
      <c r="D193" s="0" t="s">
        <v>1111</v>
      </c>
      <c r="E193" s="0" t="s">
        <v>1112</v>
      </c>
      <c r="H193" s="0" t="str">
        <f aca="false">_xlfn.CONCAT(Atakapa_Parsed_Corpus[[#This Row],[Gloss.1]],"    ",Atakapa_Parsed_Corpus[[#This Row],[Gloss.3]])</f>
        <v>kultan    ok-ø-tiš-at         hokwaŋš   ø-haŋš-at    </v>
      </c>
      <c r="I193" s="0" t="str">
        <f aca="false">_xlfn.CONCAT(Atakapa_Parsed_Corpus[[#This Row],[Gloss.2]],"    ",Atakapa_Parsed_Corpus[[#This Row],[Gloss.4]])</f>
        <v>long.time COME-3STATS-go-PRET war       3STATS-be.ended-PRET    </v>
      </c>
      <c r="J193" s="0" t="s">
        <v>1113</v>
      </c>
      <c r="K193" s="3" t="s">
        <v>1114</v>
      </c>
    </row>
    <row r="194" customFormat="false" ht="15" hidden="false" customHeight="false" outlineLevel="0" collapsed="false">
      <c r="A194" s="0" t="n">
        <v>232</v>
      </c>
      <c r="B194" s="0" t="s">
        <v>1115</v>
      </c>
      <c r="C194" s="0" t="s">
        <v>1116</v>
      </c>
      <c r="D194" s="0" t="s">
        <v>1117</v>
      </c>
      <c r="E194" s="0" t="s">
        <v>1118</v>
      </c>
      <c r="H194" s="0" t="str">
        <f aca="false">_xlfn.CONCAT(Atakapa_Parsed_Corpus[[#This Row],[Gloss.1]],"    ",Atakapa_Parsed_Corpus[[#This Row],[Gloss.3]])</f>
        <v>tol-ka    hi-yiki-ul-at    </v>
      </c>
      <c r="I194" s="0" t="str">
        <f aca="false">_xlfn.CONCAT(Atakapa_Parsed_Corpus[[#This Row],[Gloss.2]],"    ",Atakapa_Parsed_Corpus[[#This Row],[Gloss.4]])</f>
        <v>good-ADV  1SOBJ-pay-3PLS-PRET    </v>
      </c>
      <c r="J194" s="0" t="s">
        <v>1119</v>
      </c>
      <c r="K194" s="3" t="s">
        <v>1120</v>
      </c>
    </row>
    <row r="195" customFormat="false" ht="15" hidden="false" customHeight="false" outlineLevel="0" collapsed="false">
      <c r="A195" s="0" t="n">
        <v>233</v>
      </c>
      <c r="B195" s="0" t="s">
        <v>1121</v>
      </c>
      <c r="C195" s="0" t="s">
        <v>1122</v>
      </c>
      <c r="D195" s="0" t="s">
        <v>1123</v>
      </c>
      <c r="E195" s="0" t="s">
        <v>1124</v>
      </c>
      <c r="H195" s="0" t="str">
        <f aca="false">_xlfn.CONCAT(Atakapa_Parsed_Corpus[[#This Row],[Gloss.1]],"    ",Atakapa_Parsed_Corpus[[#This Row],[Gloss.3]])</f>
        <v>hiwew-ka  ø-kawkaw-kit    </v>
      </c>
      <c r="I195" s="0" t="str">
        <f aca="false">_xlfn.CONCAT(Atakapa_Parsed_Corpus[[#This Row],[Gloss.2]],"    ",Atakapa_Parsed_Corpus[[#This Row],[Gloss.4]])</f>
        <v>strong-ADV 3STATS-rain-PROG(SG)    </v>
      </c>
      <c r="J195" s="0" t="s">
        <v>1125</v>
      </c>
      <c r="K195" s="3" t="s">
        <v>1126</v>
      </c>
    </row>
    <row r="196" customFormat="false" ht="15" hidden="false" customHeight="false" outlineLevel="0" collapsed="false">
      <c r="A196" s="0" t="n">
        <v>234</v>
      </c>
      <c r="B196" s="0" t="s">
        <v>1127</v>
      </c>
      <c r="C196" s="0" t="s">
        <v>1128</v>
      </c>
      <c r="D196" s="0" t="s">
        <v>1129</v>
      </c>
      <c r="E196" s="0" t="s">
        <v>1130</v>
      </c>
      <c r="H196" s="0" t="str">
        <f aca="false">_xlfn.CONCAT(Atakapa_Parsed_Corpus[[#This Row],[Gloss.1]],"    ",Atakapa_Parsed_Corpus[[#This Row],[Gloss.3]])</f>
        <v>kuc-ka    yil-ta·t-ø    </v>
      </c>
      <c r="I196" s="0" t="str">
        <f aca="false">_xlfn.CONCAT(Atakapa_Parsed_Corpus[[#This Row],[Gloss.2]],"    ",Atakapa_Parsed_Corpus[[#This Row],[Gloss.4]])</f>
        <v>be.red-ADV 3STATS-shine-stand(sg)-3S    </v>
      </c>
      <c r="J196" s="0" t="s">
        <v>1131</v>
      </c>
      <c r="K196" s="3" t="s">
        <v>1132</v>
      </c>
    </row>
    <row r="197" customFormat="false" ht="15" hidden="false" customHeight="false" outlineLevel="0" collapsed="false">
      <c r="A197" s="0" t="n">
        <v>235</v>
      </c>
      <c r="B197" s="0" t="s">
        <v>1133</v>
      </c>
      <c r="C197" s="0" t="s">
        <v>1134</v>
      </c>
      <c r="D197" s="0" t="s">
        <v>1135</v>
      </c>
      <c r="E197" s="0" t="s">
        <v>1136</v>
      </c>
      <c r="H197" s="0" t="str">
        <f aca="false">_xlfn.CONCAT(Atakapa_Parsed_Corpus[[#This Row],[Gloss.1]],"    ",Atakapa_Parsed_Corpus[[#This Row],[Gloss.3]])</f>
        <v>tay-ka    tiš-ø    </v>
      </c>
      <c r="I197" s="0" t="str">
        <f aca="false">_xlfn.CONCAT(Atakapa_Parsed_Corpus[[#This Row],[Gloss.2]],"    ",Atakapa_Parsed_Corpus[[#This Row],[Gloss.4]])</f>
        <v>straight-ADV go-3S    </v>
      </c>
      <c r="J197" s="0" t="s">
        <v>1137</v>
      </c>
      <c r="K197" s="3" t="s">
        <v>1138</v>
      </c>
    </row>
    <row r="198" customFormat="false" ht="15" hidden="false" customHeight="false" outlineLevel="0" collapsed="false">
      <c r="A198" s="0" t="n">
        <v>236</v>
      </c>
      <c r="B198" s="0" t="s">
        <v>1139</v>
      </c>
      <c r="C198" s="0" t="s">
        <v>1140</v>
      </c>
      <c r="D198" s="0" t="s">
        <v>1141</v>
      </c>
      <c r="E198" s="0" t="s">
        <v>1142</v>
      </c>
      <c r="F198" s="0" t="s">
        <v>1143</v>
      </c>
      <c r="G198" s="0" t="s">
        <v>1144</v>
      </c>
      <c r="H198" s="0" t="str">
        <f aca="false">_xlfn.CONCAT(Atakapa_Parsed_Corpus[[#This Row],[Gloss.1]],"    ",Atakapa_Parsed_Corpus[[#This Row],[Gloss.3]])</f>
        <v>čakta     yukhiti   iša·t-hat-yinc-ne        hinak-ka    šak-ke-at</v>
      </c>
      <c r="I198" s="0" t="str">
        <f aca="false">_xlfn.CONCAT(Atakapa_Parsed_Corpus[[#This Row],[Gloss.2]],"    ",Atakapa_Parsed_Corpus[[#This Row],[Gloss.4]])</f>
        <v>Choctaw   Indian    head-REFLEX-wrap.around-GER be.like-ADV    3PLSTATS-have-PRET</v>
      </c>
      <c r="J198" s="0" t="s">
        <v>1145</v>
      </c>
      <c r="K198" s="3" t="s">
        <v>1146</v>
      </c>
    </row>
    <row r="199" customFormat="false" ht="15" hidden="false" customHeight="false" outlineLevel="0" collapsed="false">
      <c r="A199" s="0" t="n">
        <v>238</v>
      </c>
      <c r="B199" s="0" t="s">
        <v>1147</v>
      </c>
      <c r="C199" s="0" t="s">
        <v>1148</v>
      </c>
      <c r="D199" s="0" t="s">
        <v>1149</v>
      </c>
      <c r="E199" s="0" t="s">
        <v>1150</v>
      </c>
      <c r="H199" s="0" t="str">
        <f aca="false">_xlfn.CONCAT(Atakapa_Parsed_Corpus[[#This Row],[Gloss.1]],"    ",Atakapa_Parsed_Corpus[[#This Row],[Gloss.3]])</f>
        <v>ya        ci·k-ot   šak-ø-iye-la·k    </v>
      </c>
      <c r="I199" s="0" t="str">
        <f aca="false">_xlfn.CONCAT(Atakapa_Parsed_Corpus[[#This Row],[Gloss.2]],"    ",Atakapa_Parsed_Corpus[[#This Row],[Gloss.4]])</f>
        <v>that.person two-DIR 3PLO-3STATS-more-be.strong    </v>
      </c>
      <c r="J199" s="0" t="s">
        <v>1151</v>
      </c>
      <c r="K199" s="3" t="s">
        <v>1152</v>
      </c>
    </row>
    <row r="200" customFormat="false" ht="15" hidden="false" customHeight="false" outlineLevel="0" collapsed="false">
      <c r="A200" s="0" t="n">
        <v>239</v>
      </c>
      <c r="B200" s="0" t="s">
        <v>1153</v>
      </c>
      <c r="C200" s="0" t="s">
        <v>1154</v>
      </c>
      <c r="D200" s="0" t="s">
        <v>1155</v>
      </c>
      <c r="E200" s="0" t="s">
        <v>1156</v>
      </c>
      <c r="F200" s="0" t="s">
        <v>1157</v>
      </c>
      <c r="G200" s="0" t="s">
        <v>1158</v>
      </c>
      <c r="H200" s="0" t="str">
        <f aca="false">_xlfn.CONCAT(Atakapa_Parsed_Corpus[[#This Row],[Gloss.1]],"    ",Atakapa_Parsed_Corpus[[#This Row],[Gloss.3]])</f>
        <v>yukhiti nuŋ-kin ø-ke·t-nt-at       yukhiti   tul  tolpot ino    tul  tew       ø-iye-hicon</v>
      </c>
      <c r="I200" s="0" t="str">
        <f aca="false">_xlfn.CONCAT(Atakapa_Parsed_Corpus[[#This Row],[Gloss.2]],"    ",Atakapa_Parsed_Corpus[[#This Row],[Gloss.4]])</f>
        <v>Indian village-LOC 3STATS-dwell-CONTIN-PRET Indian lake east side    lake upstream  3STATS-be.more-be.small</v>
      </c>
      <c r="J200" s="0" t="s">
        <v>1159</v>
      </c>
      <c r="K200" s="3" t="s">
        <v>1160</v>
      </c>
    </row>
    <row r="201" customFormat="false" ht="15" hidden="false" customHeight="false" outlineLevel="0" collapsed="false">
      <c r="A201" s="0" t="n">
        <v>241</v>
      </c>
      <c r="B201" s="0" t="s">
        <v>1161</v>
      </c>
      <c r="C201" s="0" t="s">
        <v>1162</v>
      </c>
      <c r="D201" s="0" t="s">
        <v>1163</v>
      </c>
      <c r="E201" s="0" t="s">
        <v>1164</v>
      </c>
      <c r="H201" s="0" t="str">
        <f aca="false">_xlfn.CONCAT(Atakapa_Parsed_Corpus[[#This Row],[Gloss.1]],"    ",Atakapa_Parsed_Corpus[[#This Row],[Gloss.3]])</f>
        <v>ya   kiš       šokšiw    tan-hew   šak-ø-iyahi    </v>
      </c>
      <c r="I201" s="0" t="str">
        <f aca="false">_xlfn.CONCAT(Atakapa_Parsed_Corpus[[#This Row],[Gloss.2]],"    ",Atakapa_Parsed_Corpus[[#This Row],[Gloss.4]])</f>
        <v>that woman     be.stingy other-PL  3PLO-3STATS-be.ahead.of    </v>
      </c>
      <c r="J201" s="0" t="s">
        <v>1165</v>
      </c>
      <c r="K201" s="3" t="s">
        <v>1166</v>
      </c>
    </row>
    <row r="202" customFormat="false" ht="15" hidden="false" customHeight="false" outlineLevel="0" collapsed="false">
      <c r="A202" s="0" t="n">
        <v>242</v>
      </c>
      <c r="B202" s="0" t="s">
        <v>1167</v>
      </c>
      <c r="C202" s="0" t="s">
        <v>1168</v>
      </c>
      <c r="D202" s="0" t="s">
        <v>1169</v>
      </c>
      <c r="E202" s="0" t="s">
        <v>1170</v>
      </c>
      <c r="H202" s="0" t="str">
        <f aca="false">_xlfn.CONCAT(Atakapa_Parsed_Corpus[[#This Row],[Gloss.1]],"    ",Atakapa_Parsed_Corpus[[#This Row],[Gloss.3]])</f>
        <v>šokoy tanuk mo·n šak-ø-iyahi       tan-hew   oci    </v>
      </c>
      <c r="I202" s="0" t="str">
        <f aca="false">_xlfn.CONCAT(Atakapa_Parsed_Corpus[[#This Row],[Gloss.2]],"    ",Atakapa_Parsed_Corpus[[#This Row],[Gloss.4]])</f>
        <v>chief one all  3PLO-3STATS-be.ahead of other-PL above    </v>
      </c>
      <c r="J202" s="0" t="s">
        <v>1171</v>
      </c>
      <c r="K202" s="3" t="s">
        <v>1172</v>
      </c>
    </row>
    <row r="203" customFormat="false" ht="15" hidden="false" customHeight="false" outlineLevel="0" collapsed="false">
      <c r="A203" s="0" t="n">
        <v>244</v>
      </c>
      <c r="B203" s="0" t="s">
        <v>1173</v>
      </c>
      <c r="C203" s="0" t="s">
        <v>1174</v>
      </c>
      <c r="D203" s="0" t="s">
        <v>1175</v>
      </c>
      <c r="E203" s="0" t="s">
        <v>1176</v>
      </c>
      <c r="H203" s="0" t="str">
        <f aca="false">_xlfn.CONCAT(Atakapa_Parsed_Corpus[[#This Row],[Gloss.1]],"    ",Atakapa_Parsed_Corpus[[#This Row],[Gloss.3]])</f>
        <v>a-iš      ø-la·k         ci·k ø-íti    </v>
      </c>
      <c r="I203" s="0" t="str">
        <f aca="false">_xlfn.CONCAT(Atakapa_Parsed_Corpus[[#This Row],[Gloss.2]],"    ",Atakapa_Parsed_Corpus[[#This Row],[Gloss.4]])</f>
        <v>this.one-foc 3STATS-be.strong two 3STATS-be.in.front    </v>
      </c>
      <c r="J203" s="0" t="s">
        <v>1177</v>
      </c>
      <c r="K203" s="3" t="s">
        <v>1178</v>
      </c>
    </row>
    <row r="204" customFormat="false" ht="15" hidden="false" customHeight="false" outlineLevel="0" collapsed="false">
      <c r="A204" s="0" t="n">
        <v>245</v>
      </c>
      <c r="B204" s="0" t="s">
        <v>1179</v>
      </c>
      <c r="C204" s="0" t="s">
        <v>1180</v>
      </c>
      <c r="D204" s="0" t="s">
        <v>1181</v>
      </c>
      <c r="E204" s="0" t="s">
        <v>1182</v>
      </c>
      <c r="H204" s="0" t="str">
        <f aca="false">_xlfn.CONCAT(Atakapa_Parsed_Corpus[[#This Row],[Gloss.1]],"    ",Atakapa_Parsed_Corpus[[#This Row],[Gloss.3]])</f>
        <v>canuk-š   ø=mec-íti           šul-ot    ø-iye-mec    </v>
      </c>
      <c r="I204" s="0" t="str">
        <f aca="false">_xlfn.CONCAT(Atakapa_Parsed_Corpus[[#This Row],[Gloss.2]],"    ",Atakapa_Parsed_Corpus[[#This Row],[Gloss.4]])</f>
        <v>horse-FOC 3STATS-be.tall-be.in.front dog-DIR 3STATS-be.more-be.tall    </v>
      </c>
      <c r="J204" s="0" t="s">
        <v>1183</v>
      </c>
      <c r="K204" s="3" t="s">
        <v>1184</v>
      </c>
    </row>
    <row r="205" customFormat="false" ht="15" hidden="false" customHeight="false" outlineLevel="0" collapsed="false">
      <c r="A205" s="0" t="n">
        <v>246</v>
      </c>
      <c r="B205" s="0" t="s">
        <v>1185</v>
      </c>
      <c r="C205" s="0" t="s">
        <v>1186</v>
      </c>
      <c r="D205" s="0" t="s">
        <v>1187</v>
      </c>
      <c r="E205" s="0" t="s">
        <v>1188</v>
      </c>
      <c r="H205" s="0" t="str">
        <f aca="false">_xlfn.CONCAT(Atakapa_Parsed_Corpus[[#This Row],[Gloss.1]],"    ",Atakapa_Parsed_Corpus[[#This Row],[Gloss.3]])</f>
        <v>hiyo·l    ø-wašiŋ-íti              ha   e·ŋ  &lt;Toussaint&gt;    </v>
      </c>
      <c r="I205" s="0" t="str">
        <f aca="false">_xlfn.CONCAT(Atakapa_Parsed_Corpus[[#This Row],[Gloss.2]],"    ",Atakapa_Parsed_Corpus[[#This Row],[Gloss.4]])</f>
        <v>son       3STATS-be.so.old-be.in.front his name PN    </v>
      </c>
      <c r="J205" s="0" t="s">
        <v>1189</v>
      </c>
      <c r="K205" s="3" t="s">
        <v>1190</v>
      </c>
    </row>
    <row r="206" customFormat="false" ht="15" hidden="false" customHeight="false" outlineLevel="0" collapsed="false">
      <c r="A206" s="0" t="n">
        <v>256</v>
      </c>
      <c r="B206" s="0" t="s">
        <v>1191</v>
      </c>
      <c r="C206" s="0" t="s">
        <v>1192</v>
      </c>
      <c r="D206" s="0" t="s">
        <v>1193</v>
      </c>
      <c r="E206" s="0" t="s">
        <v>1194</v>
      </c>
      <c r="H206" s="0" t="str">
        <f aca="false">_xlfn.CONCAT(Atakapa_Parsed_Corpus[[#This Row],[Gloss.1]],"    ",Atakapa_Parsed_Corpus[[#This Row],[Gloss.3]])</f>
        <v>ipšok-ul    </v>
      </c>
      <c r="I206" s="0" t="str">
        <f aca="false">_xlfn.CONCAT(Atakapa_Parsed_Corpus[[#This Row],[Gloss.2]],"    ",Atakapa_Parsed_Corpus[[#This Row],[Gloss.4]])</f>
        <v>doctor-3PLS    </v>
      </c>
      <c r="J206" s="0" t="s">
        <v>1195</v>
      </c>
      <c r="K206" s="3" t="s">
        <v>1196</v>
      </c>
    </row>
    <row r="207" customFormat="false" ht="15" hidden="false" customHeight="false" outlineLevel="0" collapsed="false">
      <c r="A207" s="0" t="n">
        <v>257</v>
      </c>
      <c r="B207" s="0" t="s">
        <v>1197</v>
      </c>
      <c r="C207" s="0" t="s">
        <v>1198</v>
      </c>
      <c r="D207" s="0" t="s">
        <v>1199</v>
      </c>
      <c r="E207" s="0" t="s">
        <v>1200</v>
      </c>
      <c r="H207" s="0" t="str">
        <f aca="false">_xlfn.CONCAT(Atakapa_Parsed_Corpus[[#This Row],[Gloss.1]],"    ",Atakapa_Parsed_Corpus[[#This Row],[Gloss.3]])</f>
        <v>wi-iš hi-ipšók-at    </v>
      </c>
      <c r="I207" s="0" t="str">
        <f aca="false">_xlfn.CONCAT(Atakapa_Parsed_Corpus[[#This Row],[Gloss.2]],"    ",Atakapa_Parsed_Corpus[[#This Row],[Gloss.4]])</f>
        <v>I-foc 1SSTATS-doctor-PRET    </v>
      </c>
      <c r="J207" s="0" t="s">
        <v>1201</v>
      </c>
      <c r="K207" s="3" t="s">
        <v>1202</v>
      </c>
    </row>
    <row r="208" customFormat="false" ht="15" hidden="false" customHeight="false" outlineLevel="0" collapsed="false">
      <c r="A208" s="0" t="n">
        <v>258</v>
      </c>
      <c r="C208" s="0" t="s">
        <v>1203</v>
      </c>
      <c r="D208" s="0" t="s">
        <v>1204</v>
      </c>
      <c r="E208" s="0" t="s">
        <v>1205</v>
      </c>
      <c r="H208" s="0" t="str">
        <f aca="false">_xlfn.CONCAT(Atakapa_Parsed_Corpus[[#This Row],[Gloss.1]],"    ",Atakapa_Parsed_Corpus[[#This Row],[Gloss.3]])</f>
        <v>ø-ipšok-ehe    </v>
      </c>
      <c r="I208" s="0" t="str">
        <f aca="false">_xlfn.CONCAT(Atakapa_Parsed_Corpus[[#This Row],[Gloss.2]],"    ",Atakapa_Parsed_Corpus[[#This Row],[Gloss.4]])</f>
        <v>3STATS-doctor-DUB    </v>
      </c>
      <c r="J208" s="0" t="s">
        <v>1206</v>
      </c>
      <c r="K208" s="3" t="s">
        <v>1207</v>
      </c>
    </row>
    <row r="209" customFormat="false" ht="15" hidden="false" customHeight="false" outlineLevel="0" collapsed="false">
      <c r="A209" s="0" t="n">
        <v>259</v>
      </c>
      <c r="B209" s="0" t="s">
        <v>1208</v>
      </c>
      <c r="C209" s="0" t="s">
        <v>1209</v>
      </c>
      <c r="D209" s="0" t="s">
        <v>1210</v>
      </c>
      <c r="E209" s="0" t="s">
        <v>1211</v>
      </c>
      <c r="H209" s="0" t="str">
        <f aca="false">_xlfn.CONCAT(Atakapa_Parsed_Corpus[[#This Row],[Gloss.1]],"    ",Atakapa_Parsed_Corpus[[#This Row],[Gloss.3]])</f>
        <v>ø-ipšok-tikit    </v>
      </c>
      <c r="I209" s="0" t="str">
        <f aca="false">_xlfn.CONCAT(Atakapa_Parsed_Corpus[[#This Row],[Gloss.2]],"    ",Atakapa_Parsed_Corpus[[#This Row],[Gloss.4]])</f>
        <v>3STATS-doctor-FUT    </v>
      </c>
      <c r="J209" s="0" t="s">
        <v>1212</v>
      </c>
      <c r="K209" s="3" t="s">
        <v>1213</v>
      </c>
    </row>
    <row r="210" customFormat="false" ht="15" hidden="false" customHeight="false" outlineLevel="0" collapsed="false">
      <c r="A210" s="0" t="n">
        <v>261</v>
      </c>
      <c r="B210" s="0" t="s">
        <v>1214</v>
      </c>
      <c r="C210" s="0" t="s">
        <v>1215</v>
      </c>
      <c r="D210" s="0" t="s">
        <v>1216</v>
      </c>
      <c r="E210" s="0" t="s">
        <v>1217</v>
      </c>
      <c r="H210" s="0" t="str">
        <f aca="false">_xlfn.CONCAT(Atakapa_Parsed_Corpus[[#This Row],[Gloss.1]],"    ",Atakapa_Parsed_Corpus[[#This Row],[Gloss.3]])</f>
        <v>ya   šul  hakit ø-kìŋ    </v>
      </c>
      <c r="I210" s="0" t="str">
        <f aca="false">_xlfn.CONCAT(Atakapa_Parsed_Corpus[[#This Row],[Gloss.2]],"    ",Atakapa_Parsed_Corpus[[#This Row],[Gloss.4]])</f>
        <v>that dog  their 3STATS-be.pet    </v>
      </c>
      <c r="J210" s="0" t="s">
        <v>1218</v>
      </c>
      <c r="K210" s="3" t="s">
        <v>1219</v>
      </c>
    </row>
    <row r="211" customFormat="false" ht="15" hidden="false" customHeight="false" outlineLevel="0" collapsed="false">
      <c r="A211" s="0" t="n">
        <v>262</v>
      </c>
      <c r="B211" s="0" t="s">
        <v>1220</v>
      </c>
      <c r="C211" s="0" t="s">
        <v>1221</v>
      </c>
      <c r="D211" s="0" t="s">
        <v>1222</v>
      </c>
      <c r="E211" s="0" t="s">
        <v>1223</v>
      </c>
      <c r="H211" s="0" t="str">
        <f aca="false">_xlfn.CONCAT(Atakapa_Parsed_Corpus[[#This Row],[Gloss.1]],"    ",Atakapa_Parsed_Corpus[[#This Row],[Gloss.3]])</f>
        <v>wi   áŋ   ø-ne·-cak-ip    </v>
      </c>
      <c r="I211" s="0" t="str">
        <f aca="false">_xlfn.CONCAT(Atakapa_Parsed_Corpus[[#This Row],[Gloss.2]],"    ",Atakapa_Parsed_Corpus[[#This Row],[Gloss.4]])</f>
        <v>my   house 3STATS-land-dry-INESS.be    </v>
      </c>
      <c r="J211" s="0" t="s">
        <v>1224</v>
      </c>
      <c r="K211" s="3" t="s">
        <v>1225</v>
      </c>
    </row>
    <row r="212" customFormat="false" ht="15" hidden="false" customHeight="false" outlineLevel="0" collapsed="false">
      <c r="A212" s="0" t="n">
        <v>263</v>
      </c>
      <c r="B212" s="0" t="s">
        <v>1226</v>
      </c>
      <c r="C212" s="0" t="s">
        <v>1227</v>
      </c>
      <c r="D212" s="0" t="s">
        <v>1228</v>
      </c>
      <c r="E212" s="0" t="s">
        <v>1229</v>
      </c>
      <c r="H212" s="0" t="str">
        <f aca="false">_xlfn.CONCAT(Atakapa_Parsed_Corpus[[#This Row],[Gloss.1]],"    ",Atakapa_Parsed_Corpus[[#This Row],[Gloss.3]])</f>
        <v>yukhiti   ø-šakhimo·šne·-kin-hah    </v>
      </c>
      <c r="I212" s="0" t="str">
        <f aca="false">_xlfn.CONCAT(Atakapa_Parsed_Corpus[[#This Row],[Gloss.2]],"    ",Atakapa_Parsed_Corpus[[#This Row],[Gloss.4]])</f>
        <v>Indian    3STATS-cemetery-LOC.be-NEG    </v>
      </c>
      <c r="J212" s="0" t="s">
        <v>1230</v>
      </c>
      <c r="K212" s="3" t="s">
        <v>1231</v>
      </c>
    </row>
    <row r="213" customFormat="false" ht="15" hidden="false" customHeight="false" outlineLevel="0" collapsed="false">
      <c r="A213" s="0" t="n">
        <v>266</v>
      </c>
      <c r="B213" s="0" t="s">
        <v>1232</v>
      </c>
      <c r="C213" s="0" t="s">
        <v>1233</v>
      </c>
      <c r="D213" s="0" t="s">
        <v>1234</v>
      </c>
      <c r="E213" s="0" t="s">
        <v>1235</v>
      </c>
      <c r="H213" s="0" t="str">
        <f aca="false">_xlfn.CONCAT(Atakapa_Parsed_Corpus[[#This Row],[Gloss.1]],"    ",Atakapa_Parsed_Corpus[[#This Row],[Gloss.3]])</f>
        <v>šak-wine  šak-wáŋ-iš=ya            šak-tuk-ul-at    </v>
      </c>
      <c r="I213" s="0" t="str">
        <f aca="false">_xlfn.CONCAT(Atakapa_Parsed_Corpus[[#This Row],[Gloss.2]],"    ",Atakapa_Parsed_Corpus[[#This Row],[Gloss.4]])</f>
        <v>3PLO-find 3PLO-go.about-CAUS=and   3pl-bring-3pls-pret    </v>
      </c>
      <c r="J213" s="0" t="s">
        <v>1236</v>
      </c>
      <c r="K213" s="3" t="s">
        <v>1237</v>
      </c>
    </row>
    <row r="214" customFormat="false" ht="15" hidden="false" customHeight="false" outlineLevel="0" collapsed="false">
      <c r="A214" s="0" t="n">
        <v>267</v>
      </c>
      <c r="B214" s="0" t="s">
        <v>1238</v>
      </c>
      <c r="C214" s="0" t="s">
        <v>1239</v>
      </c>
      <c r="D214" s="0" t="s">
        <v>1240</v>
      </c>
      <c r="E214" s="0" t="s">
        <v>1241</v>
      </c>
      <c r="H214" s="0" t="str">
        <f aca="false">_xlfn.CONCAT(Atakapa_Parsed_Corpus[[#This Row],[Gloss.1]],"    ",Atakapa_Parsed_Corpus[[#This Row],[Gloss.3]])</f>
        <v>kicoŋš    n̥-puns-en     law  ka-ø    </v>
      </c>
      <c r="I214" s="0" t="str">
        <f aca="false">_xlfn.CONCAT(Atakapa_Parsed_Corpus[[#This Row],[Gloss.2]],"    ",Atakapa_Parsed_Corpus[[#This Row],[Gloss.4]])</f>
        <v>fire      2SSTATS-blow.on-IF burn make-2/3S    </v>
      </c>
      <c r="J214" s="0" t="s">
        <v>1242</v>
      </c>
      <c r="K214" s="3" t="s">
        <v>1243</v>
      </c>
    </row>
    <row r="215" customFormat="false" ht="15" hidden="false" customHeight="false" outlineLevel="0" collapsed="false">
      <c r="A215" s="0" t="n">
        <v>268</v>
      </c>
      <c r="B215" s="0" t="s">
        <v>1244</v>
      </c>
      <c r="C215" s="0" t="s">
        <v>1245</v>
      </c>
      <c r="D215" s="0" t="s">
        <v>1246</v>
      </c>
      <c r="E215" s="0" t="s">
        <v>1247</v>
      </c>
      <c r="H215" s="0" t="str">
        <f aca="false">_xlfn.CONCAT(Atakapa_Parsed_Corpus[[#This Row],[Gloss.1]],"    ",Atakapa_Parsed_Corpus[[#This Row],[Gloss.3]])</f>
        <v>wi   makáw     náwš-o    </v>
      </c>
      <c r="I215" s="0" t="str">
        <f aca="false">_xlfn.CONCAT(Atakapa_Parsed_Corpus[[#This Row],[Gloss.2]],"    ",Atakapa_Parsed_Corpus[[#This Row],[Gloss.4]])</f>
        <v>I    fall(sg)  let-1SS    </v>
      </c>
      <c r="J215" s="0" t="s">
        <v>1248</v>
      </c>
      <c r="K215" s="3" t="s">
        <v>1249</v>
      </c>
    </row>
    <row r="216" customFormat="false" ht="15" hidden="false" customHeight="false" outlineLevel="0" collapsed="false">
      <c r="A216" s="0" t="n">
        <v>270</v>
      </c>
      <c r="B216" s="0" t="s">
        <v>1250</v>
      </c>
      <c r="C216" s="0" t="s">
        <v>1251</v>
      </c>
      <c r="D216" s="0" t="s">
        <v>1252</v>
      </c>
      <c r="E216" s="0" t="s">
        <v>1253</v>
      </c>
      <c r="H216" s="0" t="str">
        <f aca="false">_xlfn.CONCAT(Atakapa_Parsed_Corpus[[#This Row],[Gloss.1]],"    ",Atakapa_Parsed_Corpus[[#This Row],[Gloss.3]])</f>
        <v>iškišil   ni·t ø-ke-at        hiyo·l    ø-hahš-at    </v>
      </c>
      <c r="I216" s="0" t="str">
        <f aca="false">_xlfn.CONCAT(Atakapa_Parsed_Corpus[[#This Row],[Gloss.2]],"    ",Atakapa_Parsed_Corpus[[#This Row],[Gloss.4]])</f>
        <v>daughter  five 3STATS-have-PRET son     3SSTATS-not.have-PRET    </v>
      </c>
      <c r="J216" s="0" t="s">
        <v>1254</v>
      </c>
      <c r="K216" s="3" t="s">
        <v>1255</v>
      </c>
    </row>
    <row r="217" customFormat="false" ht="15" hidden="false" customHeight="false" outlineLevel="0" collapsed="false">
      <c r="A217" s="0" t="n">
        <v>271</v>
      </c>
      <c r="B217" s="0" t="s">
        <v>1256</v>
      </c>
      <c r="C217" s="0" t="s">
        <v>1257</v>
      </c>
      <c r="D217" s="0" t="s">
        <v>1258</v>
      </c>
      <c r="E217" s="0" t="s">
        <v>1259</v>
      </c>
      <c r="H217" s="0" t="str">
        <f aca="false">_xlfn.CONCAT(Atakapa_Parsed_Corpus[[#This Row],[Gloss.1]],"    ",Atakapa_Parsed_Corpus[[#This Row],[Gloss.3]])</f>
        <v>šakyol    katnaw    šak-hahš    </v>
      </c>
      <c r="I217" s="0" t="str">
        <f aca="false">_xlfn.CONCAT(Atakapa_Parsed_Corpus[[#This Row],[Gloss.2]],"    ",Atakapa_Parsed_Corpus[[#This Row],[Gloss.4]])</f>
        <v>man       beard     3PLSTATS-not.have    </v>
      </c>
      <c r="J217" s="0" t="s">
        <v>1260</v>
      </c>
      <c r="K217" s="3" t="s">
        <v>1261</v>
      </c>
    </row>
    <row r="218" customFormat="false" ht="15" hidden="false" customHeight="false" outlineLevel="0" collapsed="false">
      <c r="A218" s="0" t="n">
        <v>272</v>
      </c>
      <c r="B218" s="0" t="s">
        <v>1262</v>
      </c>
      <c r="C218" s="0" t="s">
        <v>1263</v>
      </c>
      <c r="D218" s="0" t="s">
        <v>1264</v>
      </c>
      <c r="E218" s="0" t="s">
        <v>1265</v>
      </c>
      <c r="H218" s="0" t="str">
        <f aca="false">_xlfn.CONCAT(Atakapa_Parsed_Corpus[[#This Row],[Gloss.1]],"    ",Atakapa_Parsed_Corpus[[#This Row],[Gloss.3]])</f>
        <v>ná        há   n̥-ámi-at    </v>
      </c>
      <c r="I218" s="0" t="str">
        <f aca="false">_xlfn.CONCAT(Atakapa_Parsed_Corpus[[#This Row],[Gloss.2]],"    ",Atakapa_Parsed_Corpus[[#This Row],[Gloss.4]])</f>
        <v>you(sg)   s/he 2SSTATS-give.drink-PRET    </v>
      </c>
      <c r="J218" s="0" t="s">
        <v>1266</v>
      </c>
      <c r="K218" s="3" t="s">
        <v>1267</v>
      </c>
    </row>
    <row r="219" customFormat="false" ht="15" hidden="false" customHeight="false" outlineLevel="0" collapsed="false">
      <c r="A219" s="0" t="n">
        <v>273</v>
      </c>
      <c r="B219" s="0" t="s">
        <v>1268</v>
      </c>
      <c r="C219" s="0" t="s">
        <v>1269</v>
      </c>
      <c r="D219" s="0" t="s">
        <v>1270</v>
      </c>
      <c r="E219" s="0" t="s">
        <v>1271</v>
      </c>
      <c r="H219" s="0" t="str">
        <f aca="false">_xlfn.CONCAT(Atakapa_Parsed_Corpus[[#This Row],[Gloss.1]],"    ",Atakapa_Parsed_Corpus[[#This Row],[Gloss.3]])</f>
        <v>ha   iša·t ha  uš   mo·n ø-naw-šim    </v>
      </c>
      <c r="I219" s="0" t="str">
        <f aca="false">_xlfn.CONCAT(Atakapa_Parsed_Corpus[[#This Row],[Gloss.2]],"    ",Atakapa_Parsed_Corpus[[#This Row],[Gloss.4]])</f>
        <v>his  head his  body all  3STATS-hair-NOTHING.BUT    </v>
      </c>
      <c r="J219" s="0" t="s">
        <v>1272</v>
      </c>
      <c r="K219" s="3" t="s">
        <v>1273</v>
      </c>
    </row>
    <row r="220" customFormat="false" ht="15" hidden="false" customHeight="false" outlineLevel="0" collapsed="false">
      <c r="A220" s="0" t="n">
        <v>274</v>
      </c>
      <c r="B220" s="0" t="s">
        <v>1274</v>
      </c>
      <c r="C220" s="0" t="s">
        <v>1275</v>
      </c>
      <c r="D220" s="0" t="s">
        <v>1276</v>
      </c>
      <c r="E220" s="0" t="s">
        <v>1277</v>
      </c>
      <c r="H220" s="0" t="str">
        <f aca="false">_xlfn.CONCAT(Atakapa_Parsed_Corpus[[#This Row],[Gloss.1]],"    ",Atakapa_Parsed_Corpus[[#This Row],[Gloss.3]])</f>
        <v>yukit ø-nomš-šim         tuh-cel        yukit nuk    </v>
      </c>
      <c r="I220" s="0" t="str">
        <f aca="false">_xlfn.CONCAT(Atakapa_Parsed_Corpus[[#This Row],[Gloss.2]],"    ",Atakapa_Parsed_Corpus[[#This Row],[Gloss.4]])</f>
        <v>we   3STATS-child-NOTHING.BUT stay(pl)-1PLS we alone    </v>
      </c>
      <c r="J220" s="0" t="s">
        <v>1278</v>
      </c>
      <c r="K220" s="3" t="s">
        <v>1279</v>
      </c>
    </row>
    <row r="221" customFormat="false" ht="15" hidden="false" customHeight="false" outlineLevel="0" collapsed="false">
      <c r="A221" s="0" t="n">
        <v>275</v>
      </c>
      <c r="B221" s="0" t="s">
        <v>1280</v>
      </c>
      <c r="C221" s="0" t="s">
        <v>1281</v>
      </c>
      <c r="D221" s="0" t="s">
        <v>1282</v>
      </c>
      <c r="E221" s="0" t="s">
        <v>1283</v>
      </c>
      <c r="F221" s="0" t="s">
        <v>1284</v>
      </c>
      <c r="G221" s="0" t="s">
        <v>1285</v>
      </c>
      <c r="H221" s="0" t="str">
        <f aca="false">_xlfn.CONCAT(Atakapa_Parsed_Corpus[[#This Row],[Gloss.1]],"    ",Atakapa_Parsed_Corpus[[#This Row],[Gloss.3]])</f>
        <v>šakyol-nomš hakit šakyol-šokhatke mo·n ø-lu-šim    ø-tal-šim</v>
      </c>
      <c r="I221" s="0" t="str">
        <f aca="false">_xlfn.CONCAT(Atakapa_Parsed_Corpus[[#This Row],[Gloss.2]],"    ",Atakapa_Parsed_Corpus[[#This Row],[Gloss.4]])</f>
        <v>male-child their male-clothing all 3STATS-dirt-NOTHING.BUT    3STATS-hole-NOTHING.BUT</v>
      </c>
      <c r="J221" s="0" t="s">
        <v>1286</v>
      </c>
      <c r="K221" s="3" t="s">
        <v>1287</v>
      </c>
    </row>
    <row r="222" customFormat="false" ht="15" hidden="false" customHeight="false" outlineLevel="0" collapsed="false">
      <c r="A222" s="0" t="n">
        <v>276</v>
      </c>
      <c r="B222" s="0" t="s">
        <v>1288</v>
      </c>
      <c r="C222" s="0" t="s">
        <v>1289</v>
      </c>
      <c r="D222" s="0" t="s">
        <v>1290</v>
      </c>
      <c r="E222" s="0" t="s">
        <v>1291</v>
      </c>
      <c r="H222" s="0" t="str">
        <f aca="false">_xlfn.CONCAT(Atakapa_Parsed_Corpus[[#This Row],[Gloss.1]],"    ",Atakapa_Parsed_Corpus[[#This Row],[Gloss.3]])</f>
        <v>iša·k     ø-iša·t-šim    </v>
      </c>
      <c r="I222" s="0" t="str">
        <f aca="false">_xlfn.CONCAT(Atakapa_Parsed_Corpus[[#This Row],[Gloss.2]],"    ",Atakapa_Parsed_Corpus[[#This Row],[Gloss.4]])</f>
        <v>person    3STATS-head-NOTHING.BUT    </v>
      </c>
      <c r="J222" s="0" t="s">
        <v>1292</v>
      </c>
      <c r="K222" s="3" t="s">
        <v>1293</v>
      </c>
    </row>
    <row r="223" customFormat="false" ht="15" hidden="false" customHeight="false" outlineLevel="0" collapsed="false">
      <c r="A223" s="0" t="n">
        <v>277</v>
      </c>
      <c r="C223" s="0" t="s">
        <v>1294</v>
      </c>
      <c r="D223" s="0" t="s">
        <v>1295</v>
      </c>
      <c r="E223" s="0" t="s">
        <v>1296</v>
      </c>
      <c r="H223" s="0" t="str">
        <f aca="false">_xlfn.CONCAT(Atakapa_Parsed_Corpus[[#This Row],[Gloss.1]],"    ",Atakapa_Parsed_Corpus[[#This Row],[Gloss.3]])</f>
        <v>iša·k     ø-hika·t-šim    </v>
      </c>
      <c r="I223" s="0" t="str">
        <f aca="false">_xlfn.CONCAT(Atakapa_Parsed_Corpus[[#This Row],[Gloss.2]],"    ",Atakapa_Parsed_Corpus[[#This Row],[Gloss.4]])</f>
        <v>person    3STATS-foot-NOTHING.BUT    </v>
      </c>
      <c r="J223" s="0" t="s">
        <v>1297</v>
      </c>
      <c r="K223" s="3" t="s">
        <v>1298</v>
      </c>
    </row>
    <row r="224" customFormat="false" ht="15" hidden="false" customHeight="false" outlineLevel="0" collapsed="false">
      <c r="A224" s="0" t="n">
        <v>278</v>
      </c>
      <c r="B224" s="0" t="s">
        <v>1299</v>
      </c>
      <c r="C224" s="0" t="s">
        <v>1300</v>
      </c>
      <c r="D224" s="0" t="s">
        <v>1301</v>
      </c>
      <c r="E224" s="0" t="s">
        <v>1302</v>
      </c>
      <c r="H224" s="0" t="str">
        <f aca="false">_xlfn.CONCAT(Atakapa_Parsed_Corpus[[#This Row],[Gloss.1]],"    ",Atakapa_Parsed_Corpus[[#This Row],[Gloss.3]])</f>
        <v>neš  hat-ca·c-kit    </v>
      </c>
      <c r="I224" s="0" t="str">
        <f aca="false">_xlfn.CONCAT(Atakapa_Parsed_Corpus[[#This Row],[Gloss.2]],"    ",Atakapa_Parsed_Corpus[[#This Row],[Gloss.4]])</f>
        <v>wood REFLEX-crack-PROG(SG)    </v>
      </c>
      <c r="J224" s="0" t="s">
        <v>1303</v>
      </c>
      <c r="K224" s="3" t="s">
        <v>1304</v>
      </c>
    </row>
    <row r="225" customFormat="false" ht="15" hidden="false" customHeight="false" outlineLevel="0" collapsed="false">
      <c r="A225" s="0" t="n">
        <v>292</v>
      </c>
      <c r="B225" s="0" t="s">
        <v>1305</v>
      </c>
      <c r="C225" s="0" t="s">
        <v>1306</v>
      </c>
      <c r="D225" s="0" t="s">
        <v>1307</v>
      </c>
      <c r="E225" s="0" t="s">
        <v>1308</v>
      </c>
      <c r="H225" s="0" t="str">
        <f aca="false">_xlfn.CONCAT(Atakapa_Parsed_Corpus[[#This Row],[Gloss.1]],"    ",Atakapa_Parsed_Corpus[[#This Row],[Gloss.3]])</f>
        <v>taw-,šok,šok-ø-wan-kit    </v>
      </c>
      <c r="I225" s="0" t="str">
        <f aca="false">_xlfn.CONCAT(Atakapa_Parsed_Corpus[[#This Row],[Gloss.2]],"    ",Atakapa_Parsed_Corpus[[#This Row],[Gloss.4]])</f>
        <v>STAND-,REDUP,STH-3STATS-speak-PROG    </v>
      </c>
      <c r="J225" s="0" t="s">
        <v>1309</v>
      </c>
      <c r="K225" s="3" t="s">
        <v>1310</v>
      </c>
    </row>
    <row r="226" customFormat="false" ht="15" hidden="false" customHeight="false" outlineLevel="0" collapsed="false">
      <c r="A226" s="0" t="n">
        <v>297</v>
      </c>
      <c r="B226" s="0" t="s">
        <v>1311</v>
      </c>
      <c r="C226" s="0" t="s">
        <v>1312</v>
      </c>
      <c r="D226" s="0" t="s">
        <v>1313</v>
      </c>
      <c r="E226" s="0" t="s">
        <v>1314</v>
      </c>
      <c r="H226" s="0" t="str">
        <f aca="false">_xlfn.CONCAT(Atakapa_Parsed_Corpus[[#This Row],[Gloss.1]],"    ",Atakapa_Parsed_Corpus[[#This Row],[Gloss.3]])</f>
        <v>kica·k-šak-pihk-ya       pam,hok,pam-iš-ul-at    </v>
      </c>
      <c r="I226" s="0" t="str">
        <f aca="false">_xlfn.CONCAT(Atakapa_Parsed_Corpus[[#This Row],[Gloss.2]],"    ",Atakapa_Parsed_Corpus[[#This Row],[Gloss.4]])</f>
        <v>whiskey-3PLSTATS-be.dead(pl)-and REDUP,RECIP,beat-CAUS-3PLS-PRET    </v>
      </c>
      <c r="J226" s="0" t="s">
        <v>1315</v>
      </c>
      <c r="K226" s="3" t="s">
        <v>1316</v>
      </c>
    </row>
    <row r="227" customFormat="false" ht="15" hidden="false" customHeight="false" outlineLevel="0" collapsed="false">
      <c r="A227" s="0" t="n">
        <v>298</v>
      </c>
      <c r="B227" s="0" t="s">
        <v>1317</v>
      </c>
      <c r="C227" s="0" t="s">
        <v>1318</v>
      </c>
      <c r="D227" s="0" t="s">
        <v>1319</v>
      </c>
      <c r="E227" s="0" t="s">
        <v>1320</v>
      </c>
      <c r="H227" s="0" t="str">
        <f aca="false">_xlfn.CONCAT(Atakapa_Parsed_Corpus[[#This Row],[Gloss.1]],"    ",Atakapa_Parsed_Corpus[[#This Row],[Gloss.3]])</f>
        <v>tan-hew   tul-kin   pak,šak,pakiš-at    </v>
      </c>
      <c r="I227" s="0" t="str">
        <f aca="false">_xlfn.CONCAT(Atakapa_Parsed_Corpus[[#This Row],[Gloss.2]],"    ",Atakapa_Parsed_Corpus[[#This Row],[Gloss.4]])</f>
        <v>other-PL  lake-loc  REDUP,3PLOBJ,throw-PRET    </v>
      </c>
      <c r="J227" s="0" t="s">
        <v>1321</v>
      </c>
      <c r="K227" s="3" t="s">
        <v>1322</v>
      </c>
    </row>
    <row r="228" customFormat="false" ht="15" hidden="false" customHeight="false" outlineLevel="0" collapsed="false">
      <c r="A228" s="0" t="n">
        <v>301</v>
      </c>
      <c r="B228" s="0" t="s">
        <v>1323</v>
      </c>
      <c r="C228" s="0" t="s">
        <v>1324</v>
      </c>
      <c r="D228" s="0" t="s">
        <v>1325</v>
      </c>
      <c r="E228" s="0" t="s">
        <v>1326</v>
      </c>
      <c r="H228" s="0" t="str">
        <f aca="false">_xlfn.CONCAT(Atakapa_Parsed_Corpus[[#This Row],[Gloss.1]],"    ",Atakapa_Parsed_Corpus[[#This Row],[Gloss.3]])</f>
        <v>šiwan-ø   anpakš-ø  ø-koŋ-kit    </v>
      </c>
      <c r="I228" s="0" t="str">
        <f aca="false">_xlfn.CONCAT(Atakapa_Parsed_Corpus[[#This Row],[Gloss.2]],"    ",Atakapa_Parsed_Corpus[[#This Row],[Gloss.4]])</f>
        <v>cat-ABS   mouse-ABS 3STATS-seize-PROG(SG)    </v>
      </c>
      <c r="J228" s="0" t="s">
        <v>1327</v>
      </c>
      <c r="K228" s="3" t="s">
        <v>1328</v>
      </c>
    </row>
    <row r="229" customFormat="false" ht="15" hidden="false" customHeight="false" outlineLevel="0" collapsed="false">
      <c r="A229" s="0" t="n">
        <v>302</v>
      </c>
      <c r="B229" s="0" t="s">
        <v>1329</v>
      </c>
      <c r="C229" s="0" t="s">
        <v>1330</v>
      </c>
      <c r="D229" s="0" t="s">
        <v>1331</v>
      </c>
      <c r="E229" s="0" t="s">
        <v>1332</v>
      </c>
      <c r="H229" s="0" t="str">
        <f aca="false">_xlfn.CONCAT(Atakapa_Parsed_Corpus[[#This Row],[Gloss.1]],"    ",Atakapa_Parsed_Corpus[[#This Row],[Gloss.3]])</f>
        <v>loŋloŋš-ø neš-ø     ø-koŋ-at    </v>
      </c>
      <c r="I229" s="0" t="str">
        <f aca="false">_xlfn.CONCAT(Atakapa_Parsed_Corpus[[#This Row],[Gloss.2]],"    ",Atakapa_Parsed_Corpus[[#This Row],[Gloss.4]])</f>
        <v>thunder-ABS tree-ABS 3STATS-seize-PRET    </v>
      </c>
      <c r="J229" s="0" t="s">
        <v>1333</v>
      </c>
      <c r="K229" s="3" t="s">
        <v>1334</v>
      </c>
    </row>
    <row r="230" customFormat="false" ht="15" hidden="false" customHeight="false" outlineLevel="0" collapsed="false">
      <c r="A230" s="0" t="n">
        <v>304</v>
      </c>
      <c r="B230" s="0" t="s">
        <v>1335</v>
      </c>
      <c r="C230" s="0" t="s">
        <v>1336</v>
      </c>
      <c r="D230" s="0" t="s">
        <v>1337</v>
      </c>
      <c r="E230" s="0" t="s">
        <v>1338</v>
      </c>
      <c r="H230" s="0" t="str">
        <f aca="false">_xlfn.CONCAT(Atakapa_Parsed_Corpus[[#This Row],[Gloss.1]],"    ",Atakapa_Parsed_Corpus[[#This Row],[Gloss.3]])</f>
        <v>hilay tan-ik        ø-pam-ø-at    </v>
      </c>
      <c r="I230" s="0" t="str">
        <f aca="false">_xlfn.CONCAT(Atakapa_Parsed_Corpus[[#This Row],[Gloss.2]],"    ",Atakapa_Parsed_Corpus[[#This Row],[Gloss.4]])</f>
        <v>wife other-ERG.AGNT 3SOBJ-beat-3SS-PRET    </v>
      </c>
      <c r="J230" s="0" t="s">
        <v>1339</v>
      </c>
      <c r="K230" s="3" t="s">
        <v>1340</v>
      </c>
    </row>
    <row r="231" customFormat="false" ht="15" hidden="false" customHeight="false" outlineLevel="0" collapsed="false">
      <c r="A231" s="0" t="n">
        <v>305</v>
      </c>
      <c r="B231" s="0" t="s">
        <v>1341</v>
      </c>
      <c r="C231" s="0" t="s">
        <v>1342</v>
      </c>
      <c r="D231" s="0" t="s">
        <v>1343</v>
      </c>
      <c r="E231" s="0" t="s">
        <v>1344</v>
      </c>
      <c r="H231" s="0" t="str">
        <f aca="false">_xlfn.CONCAT(Atakapa_Parsed_Corpus[[#This Row],[Gloss.1]],"    ",Atakapa_Parsed_Corpus[[#This Row],[Gloss.3]])</f>
        <v>hišlawš   ta·t-ik        ø-nima-ø-at    </v>
      </c>
      <c r="I231" s="0" t="str">
        <f aca="false">_xlfn.CONCAT(Atakapa_Parsed_Corpus[[#This Row],[Gloss.2]],"    ",Atakapa_Parsed_Corpus[[#This Row],[Gloss.4]])</f>
        <v>fever     yellow-ERG.AGNT 3SOBJ-kill-3SS-PRET    </v>
      </c>
      <c r="J231" s="0" t="s">
        <v>1345</v>
      </c>
      <c r="K231" s="3" t="s">
        <v>1346</v>
      </c>
    </row>
    <row r="232" customFormat="false" ht="15" hidden="false" customHeight="false" outlineLevel="0" collapsed="false">
      <c r="A232" s="0" t="n">
        <v>306</v>
      </c>
      <c r="B232" s="0" t="s">
        <v>1347</v>
      </c>
      <c r="C232" s="0" t="s">
        <v>1348</v>
      </c>
      <c r="D232" s="0" t="s">
        <v>1349</v>
      </c>
      <c r="E232" s="0" t="s">
        <v>1350</v>
      </c>
      <c r="H232" s="0" t="str">
        <f aca="false">_xlfn.CONCAT(Atakapa_Parsed_Corpus[[#This Row],[Gloss.1]],"    ",Atakapa_Parsed_Corpus[[#This Row],[Gloss.3]])</f>
        <v>wi-ik     šak-in-o    </v>
      </c>
      <c r="I232" s="0" t="str">
        <f aca="false">_xlfn.CONCAT(Atakapa_Parsed_Corpus[[#This Row],[Gloss.2]],"    ",Atakapa_Parsed_Corpus[[#This Row],[Gloss.4]])</f>
        <v>I-ERG.AGNT 3PLOBJ-ask-1SS    </v>
      </c>
      <c r="J232" s="0" t="s">
        <v>1351</v>
      </c>
      <c r="K232" s="3" t="s">
        <v>1352</v>
      </c>
    </row>
    <row r="233" customFormat="false" ht="15" hidden="false" customHeight="false" outlineLevel="0" collapsed="false">
      <c r="A233" s="0" t="n">
        <v>307</v>
      </c>
      <c r="B233" s="0" t="s">
        <v>1353</v>
      </c>
      <c r="C233" s="0" t="s">
        <v>1354</v>
      </c>
      <c r="D233" s="0" t="s">
        <v>1355</v>
      </c>
      <c r="E233" s="0" t="s">
        <v>1356</v>
      </c>
      <c r="H233" s="0" t="str">
        <f aca="false">_xlfn.CONCAT(Atakapa_Parsed_Corpus[[#This Row],[Gloss.1]],"    ",Atakapa_Parsed_Corpus[[#This Row],[Gloss.3]])</f>
        <v>kušme·l-ik          ø-nima-ø-at    </v>
      </c>
      <c r="I233" s="0" t="str">
        <f aca="false">_xlfn.CONCAT(Atakapa_Parsed_Corpus[[#This Row],[Gloss.2]],"    ",Atakapa_Parsed_Corpus[[#This Row],[Gloss.4]])</f>
        <v>black.person-ERG.AGNT 3SOBJ-kill-3SS-PRET    </v>
      </c>
      <c r="J233" s="0" t="s">
        <v>1357</v>
      </c>
      <c r="K233" s="3" t="s">
        <v>1358</v>
      </c>
    </row>
    <row r="234" customFormat="false" ht="15" hidden="false" customHeight="false" outlineLevel="0" collapsed="false">
      <c r="A234" s="0" t="n">
        <v>308</v>
      </c>
      <c r="B234" s="0" t="s">
        <v>1359</v>
      </c>
      <c r="C234" s="0" t="s">
        <v>1360</v>
      </c>
      <c r="D234" s="0" t="s">
        <v>1361</v>
      </c>
      <c r="E234" s="0" t="s">
        <v>1362</v>
      </c>
      <c r="H234" s="0" t="str">
        <f aca="false">_xlfn.CONCAT(Atakapa_Parsed_Corpus[[#This Row],[Gloss.1]],"    ",Atakapa_Parsed_Corpus[[#This Row],[Gloss.3]])</f>
        <v>wi hite·t-ik        hi-pam-ø-at    </v>
      </c>
      <c r="I234" s="0" t="str">
        <f aca="false">_xlfn.CONCAT(Atakapa_Parsed_Corpus[[#This Row],[Gloss.2]],"    ",Atakapa_Parsed_Corpus[[#This Row],[Gloss.4]])</f>
        <v>my father-ERG.AGNT  1SOBJ-beat-3SS-PRET    </v>
      </c>
      <c r="J234" s="0" t="s">
        <v>1363</v>
      </c>
      <c r="K234" s="3" t="s">
        <v>1364</v>
      </c>
    </row>
    <row r="235" customFormat="false" ht="15" hidden="false" customHeight="false" outlineLevel="0" collapsed="false">
      <c r="A235" s="0" t="n">
        <v>309</v>
      </c>
      <c r="B235" s="0" t="s">
        <v>1365</v>
      </c>
      <c r="C235" s="0" t="s">
        <v>1366</v>
      </c>
      <c r="D235" s="0" t="s">
        <v>1367</v>
      </c>
      <c r="E235" s="0" t="s">
        <v>1368</v>
      </c>
      <c r="H235" s="0" t="str">
        <f aca="false">_xlfn.CONCAT(Atakapa_Parsed_Corpus[[#This Row],[Gloss.1]],"    ",Atakapa_Parsed_Corpus[[#This Row],[Gloss.3]])</f>
        <v>oceh-ik        hi-caw-ø-at    </v>
      </c>
      <c r="I235" s="0" t="str">
        <f aca="false">_xlfn.CONCAT(Atakapa_Parsed_Corpus[[#This Row],[Gloss.2]],"    ",Atakapa_Parsed_Corpus[[#This Row],[Gloss.4]])</f>
        <v>snake-ERG.AGNT 1SOBJ-bite-3SS-PRET    </v>
      </c>
      <c r="J235" s="0" t="s">
        <v>1369</v>
      </c>
      <c r="K235" s="3" t="s">
        <v>1370</v>
      </c>
    </row>
    <row r="236" customFormat="false" ht="15" hidden="false" customHeight="false" outlineLevel="0" collapsed="false">
      <c r="A236" s="0" t="n">
        <v>310</v>
      </c>
      <c r="B236" s="0" t="s">
        <v>1371</v>
      </c>
      <c r="C236" s="0" t="s">
        <v>1372</v>
      </c>
      <c r="D236" s="0" t="s">
        <v>1373</v>
      </c>
      <c r="E236" s="0" t="s">
        <v>1374</v>
      </c>
      <c r="H236" s="0" t="str">
        <f aca="false">_xlfn.CONCAT(Atakapa_Parsed_Corpus[[#This Row],[Gloss.1]],"    ",Atakapa_Parsed_Corpus[[#This Row],[Gloss.3]])</f>
        <v>ša-ik          hi-walš-ø-at    </v>
      </c>
      <c r="I236" s="0" t="str">
        <f aca="false">_xlfn.CONCAT(Atakapa_Parsed_Corpus[[#This Row],[Gloss.2]],"    ",Atakapa_Parsed_Corpus[[#This Row],[Gloss.4]])</f>
        <v>someone-ERG.AGNT 1SOBJ-fan-3SS-PRET    </v>
      </c>
      <c r="J236" s="0" t="s">
        <v>1375</v>
      </c>
      <c r="K236" s="3" t="s">
        <v>1376</v>
      </c>
    </row>
    <row r="237" customFormat="false" ht="15" hidden="false" customHeight="false" outlineLevel="0" collapsed="false">
      <c r="A237" s="0" t="n">
        <v>322</v>
      </c>
      <c r="B237" s="0" t="s">
        <v>1377</v>
      </c>
      <c r="C237" s="0" t="s">
        <v>1378</v>
      </c>
      <c r="D237" s="0" t="s">
        <v>1379</v>
      </c>
      <c r="E237" s="0" t="s">
        <v>1380</v>
      </c>
      <c r="H237" s="0" t="str">
        <f aca="false">_xlfn.CONCAT(Atakapa_Parsed_Corpus[[#This Row],[Gloss.1]],"    ",Atakapa_Parsed_Corpus[[#This Row],[Gloss.3]])</f>
        <v>wi   šak-nomš puškin ø-waŋ-aŋkamš-tit             šoktokš-ik    </v>
      </c>
      <c r="I237" s="0" t="str">
        <f aca="false">_xlfn.CONCAT(Atakapa_Parsed_Corpus[[#This Row],[Gloss.2]],"    ",Atakapa_Parsed_Corpus[[#This Row],[Gloss.4]])</f>
        <v>my   PL-child outside 3STATS-go.about-play(pl)-PROGRESS(PL) ball-ERG.INSTR    </v>
      </c>
      <c r="J237" s="0" t="s">
        <v>1381</v>
      </c>
      <c r="K237" s="3" t="s">
        <v>1382</v>
      </c>
    </row>
    <row r="238" customFormat="false" ht="15" hidden="false" customHeight="false" outlineLevel="0" collapsed="false">
      <c r="A238" s="0" t="n">
        <v>323</v>
      </c>
      <c r="C238" s="0" t="s">
        <v>1383</v>
      </c>
      <c r="D238" s="0" t="s">
        <v>1384</v>
      </c>
      <c r="E238" s="0" t="s">
        <v>1385</v>
      </c>
      <c r="H238" s="0" t="str">
        <f aca="false">_xlfn.CONCAT(Atakapa_Parsed_Corpus[[#This Row],[Gloss.1]],"    ",Atakapa_Parsed_Corpus[[#This Row],[Gloss.3]])</f>
        <v>wi   néš       páyš-ik   tám-š-o    </v>
      </c>
      <c r="I238" s="0" t="str">
        <f aca="false">_xlfn.CONCAT(Atakapa_Parsed_Corpus[[#This Row],[Gloss.2]],"    ",Atakapa_Parsed_Corpus[[#This Row],[Gloss.4]])</f>
        <v>I    wood      axe-ERG.INSTR split-CAUS-1SS    </v>
      </c>
      <c r="J238" s="0" t="s">
        <v>1386</v>
      </c>
      <c r="K238" s="3" t="s">
        <v>1387</v>
      </c>
    </row>
    <row r="239" customFormat="false" ht="15" hidden="false" customHeight="false" outlineLevel="0" collapsed="false">
      <c r="A239" s="0" t="n">
        <v>313</v>
      </c>
      <c r="B239" s="0" t="s">
        <v>1388</v>
      </c>
      <c r="C239" s="0" t="s">
        <v>1389</v>
      </c>
      <c r="D239" s="0" t="s">
        <v>1390</v>
      </c>
      <c r="E239" s="0" t="s">
        <v>1391</v>
      </c>
      <c r="H239" s="0" t="str">
        <f aca="false">_xlfn.CONCAT(Atakapa_Parsed_Corpus[[#This Row],[Gloss.1]],"    ",Atakapa_Parsed_Corpus[[#This Row],[Gloss.3]])</f>
        <v>hišlawš   ta·t-ik        ø-kaw-at    </v>
      </c>
      <c r="I239" s="0" t="str">
        <f aca="false">_xlfn.CONCAT(Atakapa_Parsed_Corpus[[#This Row],[Gloss.2]],"    ",Atakapa_Parsed_Corpus[[#This Row],[Gloss.4]])</f>
        <v>fever     yellow-ERG.INSTR 3SSTATS-die-PRET    </v>
      </c>
      <c r="J239" s="0" t="s">
        <v>1392</v>
      </c>
      <c r="K239" s="3" t="s">
        <v>1393</v>
      </c>
    </row>
    <row r="240" customFormat="false" ht="15" hidden="false" customHeight="false" outlineLevel="0" collapsed="false">
      <c r="A240" s="0" t="n">
        <v>314</v>
      </c>
      <c r="B240" s="0" t="s">
        <v>1394</v>
      </c>
      <c r="C240" s="0" t="s">
        <v>1395</v>
      </c>
      <c r="D240" s="0" t="s">
        <v>1396</v>
      </c>
      <c r="E240" s="0" t="s">
        <v>1397</v>
      </c>
      <c r="H240" s="0" t="str">
        <f aca="false">_xlfn.CONCAT(Atakapa_Parsed_Corpus[[#This Row],[Gloss.1]],"    ",Atakapa_Parsed_Corpus[[#This Row],[Gloss.3]])</f>
        <v>ilu-ik         hi-šoke·š-at    </v>
      </c>
      <c r="I240" s="0" t="str">
        <f aca="false">_xlfn.CONCAT(Atakapa_Parsed_Corpus[[#This Row],[Gloss.2]],"    ",Atakapa_Parsed_Corpus[[#This Row],[Gloss.4]])</f>
        <v>heat-ERG.INSTR 1SSTATS-be.sick-PRET    </v>
      </c>
      <c r="J240" s="0" t="s">
        <v>1398</v>
      </c>
      <c r="K240" s="3" t="s">
        <v>1399</v>
      </c>
    </row>
    <row r="241" customFormat="false" ht="15" hidden="false" customHeight="false" outlineLevel="0" collapsed="false">
      <c r="A241" s="0" t="n">
        <v>315</v>
      </c>
      <c r="B241" s="0" t="s">
        <v>1400</v>
      </c>
      <c r="C241" s="0" t="s">
        <v>1401</v>
      </c>
      <c r="D241" s="0" t="s">
        <v>1402</v>
      </c>
      <c r="E241" s="0" t="s">
        <v>1403</v>
      </c>
      <c r="H241" s="0" t="str">
        <f aca="false">_xlfn.CONCAT(Atakapa_Parsed_Corpus[[#This Row],[Gloss.1]],"    ",Atakapa_Parsed_Corpus[[#This Row],[Gloss.3]])</f>
        <v>wawš-ik        hi-law-at    </v>
      </c>
      <c r="I241" s="0" t="str">
        <f aca="false">_xlfn.CONCAT(Atakapa_Parsed_Corpus[[#This Row],[Gloss.2]],"    ",Atakapa_Parsed_Corpus[[#This Row],[Gloss.4]])</f>
        <v>steam-ERG.INSTR 1SSTATS-burn-PRET    </v>
      </c>
      <c r="J241" s="0" t="s">
        <v>1404</v>
      </c>
      <c r="K241" s="3" t="s">
        <v>1405</v>
      </c>
    </row>
    <row r="242" customFormat="false" ht="15" hidden="false" customHeight="false" outlineLevel="0" collapsed="false">
      <c r="A242" s="0" t="n">
        <v>317</v>
      </c>
      <c r="B242" s="0" t="s">
        <v>1406</v>
      </c>
      <c r="C242" s="0" t="s">
        <v>1407</v>
      </c>
      <c r="D242" s="0" t="s">
        <v>1408</v>
      </c>
      <c r="E242" s="0" t="s">
        <v>1409</v>
      </c>
      <c r="H242" s="0" t="str">
        <f aca="false">_xlfn.CONCAT(Atakapa_Parsed_Corpus[[#This Row],[Gloss.1]],"    ",Atakapa_Parsed_Corpus[[#This Row],[Gloss.3]])</f>
        <v>lu-ik          ka   am-š-ne    </v>
      </c>
      <c r="I242" s="0" t="str">
        <f aca="false">_xlfn.CONCAT(Atakapa_Parsed_Corpus[[#This Row],[Gloss.2]],"    ",Atakapa_Parsed_Corpus[[#This Row],[Gloss.4]])</f>
        <v>clay-ERG.INSTR made drink-CAUS-GER    </v>
      </c>
      <c r="J242" s="0" t="s">
        <v>1410</v>
      </c>
      <c r="K242" s="3" t="s">
        <v>1411</v>
      </c>
    </row>
    <row r="243" customFormat="false" ht="15" hidden="false" customHeight="false" outlineLevel="0" collapsed="false">
      <c r="A243" s="0" t="n">
        <v>318</v>
      </c>
      <c r="B243" s="0" t="s">
        <v>1412</v>
      </c>
      <c r="C243" s="0" t="s">
        <v>1413</v>
      </c>
      <c r="D243" s="0" t="s">
        <v>1414</v>
      </c>
      <c r="E243" s="0" t="s">
        <v>1415</v>
      </c>
      <c r="H243" s="0" t="str">
        <f aca="false">_xlfn.CONCAT(Atakapa_Parsed_Corpus[[#This Row],[Gloss.1]],"    ",Atakapa_Parsed_Corpus[[#This Row],[Gloss.3]])</f>
        <v>yukhiti   iša·ttókš šokoy waši-ø   ø-kawat    </v>
      </c>
      <c r="I243" s="0" t="str">
        <f aca="false">_xlfn.CONCAT(Atakapa_Parsed_Corpus[[#This Row],[Gloss.2]],"    ",Atakapa_Parsed_Corpus[[#This Row],[Gloss.4]])</f>
        <v>Indian    PN        chief old-ABS  3STATS-die-PRET    </v>
      </c>
      <c r="J243" s="0" t="s">
        <v>1416</v>
      </c>
      <c r="K243" s="3" t="s">
        <v>1417</v>
      </c>
    </row>
    <row r="244" customFormat="false" ht="15" hidden="false" customHeight="false" outlineLevel="0" collapsed="false">
      <c r="A244" s="0" t="n">
        <v>319</v>
      </c>
      <c r="C244" s="0" t="s">
        <v>1140</v>
      </c>
      <c r="D244" s="0" t="s">
        <v>1418</v>
      </c>
      <c r="E244" s="0" t="s">
        <v>1419</v>
      </c>
      <c r="H244" s="0" t="str">
        <f aca="false">_xlfn.CONCAT(Atakapa_Parsed_Corpus[[#This Row],[Gloss.1]],"    ",Atakapa_Parsed_Corpus[[#This Row],[Gloss.3]])</f>
        <v>čakta3    yukhiti   iša·thatyincne-ø hinakka šak-ke-at    </v>
      </c>
      <c r="I244" s="0" t="str">
        <f aca="false">_xlfn.CONCAT(Atakapa_Parsed_Corpus[[#This Row],[Gloss.2]],"    ",Atakapa_Parsed_Corpus[[#This Row],[Gloss.4]])</f>
        <v>Choctaw   Indian    crown-ABS      like      3PLSTATS-have-PRET    </v>
      </c>
      <c r="J244" s="0" t="s">
        <v>1145</v>
      </c>
      <c r="K244" s="3" t="s">
        <v>1420</v>
      </c>
    </row>
    <row r="245" customFormat="false" ht="15" hidden="false" customHeight="false" outlineLevel="0" collapsed="false">
      <c r="A245" s="0" t="n">
        <v>320</v>
      </c>
      <c r="B245" s="0" t="s">
        <v>1421</v>
      </c>
      <c r="C245" s="0" t="s">
        <v>1422</v>
      </c>
      <c r="D245" s="0" t="s">
        <v>1423</v>
      </c>
      <c r="E245" s="0" t="s">
        <v>1424</v>
      </c>
      <c r="H245" s="0" t="str">
        <f aca="false">_xlfn.CONCAT(Atakapa_Parsed_Corpus[[#This Row],[Gloss.1]],"    ",Atakapa_Parsed_Corpus[[#This Row],[Gloss.3]])</f>
        <v>iša·k     šok-šak-caŋš-ø koŋ  ø-uhc    </v>
      </c>
      <c r="I245" s="0" t="str">
        <f aca="false">_xlfn.CONCAT(Atakapa_Parsed_Corpus[[#This Row],[Gloss.2]],"    ",Atakapa_Parsed_Corpus[[#This Row],[Gloss.4]])</f>
        <v>person    STH-3PLO-steal -ABS sieze 3PLSTATS-be.able    </v>
      </c>
      <c r="J245" s="0" t="s">
        <v>1425</v>
      </c>
      <c r="K245" s="3" t="s">
        <v>1426</v>
      </c>
    </row>
    <row r="246" customFormat="false" ht="15" hidden="false" customHeight="false" outlineLevel="0" collapsed="false">
      <c r="A246" s="0" t="n">
        <v>321</v>
      </c>
      <c r="B246" s="0" t="s">
        <v>545</v>
      </c>
      <c r="C246" s="0" t="s">
        <v>1427</v>
      </c>
      <c r="D246" s="0" t="s">
        <v>1428</v>
      </c>
      <c r="E246" s="0" t="s">
        <v>1429</v>
      </c>
      <c r="H246" s="0" t="str">
        <f aca="false">_xlfn.CONCAT(Atakapa_Parsed_Corpus[[#This Row],[Gloss.1]],"    ",Atakapa_Parsed_Corpus[[#This Row],[Gloss.3]])</f>
        <v>iša·k     šak-pihk-ø     šak-law-i-ul-hah-at    </v>
      </c>
      <c r="I246" s="0" t="str">
        <f aca="false">_xlfn.CONCAT(Atakapa_Parsed_Corpus[[#This Row],[Gloss.2]],"    ",Atakapa_Parsed_Corpus[[#This Row],[Gloss.4]])</f>
        <v>person    PL-die(pl)-ABS 3PLOBJ-burn-CAUS-3PLS-NEG-PRET    </v>
      </c>
      <c r="J246" s="0" t="s">
        <v>549</v>
      </c>
      <c r="K246" s="3" t="s">
        <v>1430</v>
      </c>
    </row>
    <row r="247" customFormat="false" ht="15" hidden="false" customHeight="false" outlineLevel="0" collapsed="false">
      <c r="A247" s="0" t="n">
        <v>322</v>
      </c>
      <c r="B247" s="0" t="s">
        <v>1431</v>
      </c>
      <c r="C247" s="0" t="s">
        <v>1432</v>
      </c>
      <c r="D247" s="0" t="s">
        <v>1433</v>
      </c>
      <c r="E247" s="0" t="s">
        <v>1434</v>
      </c>
      <c r="H247" s="0" t="str">
        <f aca="false">_xlfn.CONCAT(Atakapa_Parsed_Corpus[[#This Row],[Gloss.1]],"    ",Atakapa_Parsed_Corpus[[#This Row],[Gloss.3]])</f>
        <v>yukhiti   ipšok-ø   ok=ya     ø-peni-ø-at    </v>
      </c>
      <c r="I247" s="0" t="str">
        <f aca="false">_xlfn.CONCAT(Atakapa_Parsed_Corpus[[#This Row],[Gloss.2]],"    ",Atakapa_Parsed_Corpus[[#This Row],[Gloss.4]])</f>
        <v>Indian    doctor-ABS come=and 3OBJ-cure-3SS-PRET    </v>
      </c>
      <c r="J247" s="0" t="s">
        <v>1435</v>
      </c>
      <c r="K247" s="3" t="s">
        <v>1436</v>
      </c>
    </row>
    <row r="248" customFormat="false" ht="15" hidden="false" customHeight="false" outlineLevel="0" collapsed="false">
      <c r="A248" s="0" t="n">
        <v>323</v>
      </c>
      <c r="B248" s="0" t="s">
        <v>1437</v>
      </c>
      <c r="C248" s="0" t="s">
        <v>1438</v>
      </c>
      <c r="D248" s="0" t="s">
        <v>1439</v>
      </c>
      <c r="E248" s="0" t="s">
        <v>1440</v>
      </c>
      <c r="F248" s="0" t="s">
        <v>1441</v>
      </c>
      <c r="G248" s="0" t="s">
        <v>1442</v>
      </c>
      <c r="H248" s="0" t="str">
        <f aca="false">_xlfn.CONCAT(Atakapa_Parsed_Corpus[[#This Row],[Gloss.1]],"    ",Atakapa_Parsed_Corpus[[#This Row],[Gloss.3]])</f>
        <v>hi-yuc-kin          ha-iš     hokwaŋš-ot ø-tiš-at=ya    ø-kaw-at</v>
      </c>
      <c r="I248" s="0" t="str">
        <f aca="false">_xlfn.CONCAT(Atakapa_Parsed_Corpus[[#This Row],[Gloss.2]],"    ",Atakapa_Parsed_Corpus[[#This Row],[Gloss.4]])</f>
        <v>1SSTAS-be.grown-WHEN he-FOC   war-DIR   3STATS-go-PRET=and    3STATS-die-PRET</v>
      </c>
      <c r="J248" s="0" t="s">
        <v>1443</v>
      </c>
      <c r="K248" s="3" t="s">
        <v>1444</v>
      </c>
    </row>
    <row r="249" customFormat="false" ht="15" hidden="false" customHeight="false" outlineLevel="0" collapsed="false">
      <c r="A249" s="0" t="n">
        <v>324</v>
      </c>
      <c r="B249" s="0" t="s">
        <v>223</v>
      </c>
      <c r="C249" s="0" t="s">
        <v>224</v>
      </c>
      <c r="D249" s="0" t="s">
        <v>225</v>
      </c>
      <c r="E249" s="0" t="s">
        <v>226</v>
      </c>
      <c r="H249" s="0" t="str">
        <f aca="false">_xlfn.CONCAT(Atakapa_Parsed_Corpus[[#This Row],[Gloss.1]],"    ",Atakapa_Parsed_Corpus[[#This Row],[Gloss.3]])</f>
        <v>halkin    cipš-ø-at      yukhiti   tul-ot    </v>
      </c>
      <c r="I249" s="0" t="str">
        <f aca="false">_xlfn.CONCAT(Atakapa_Parsed_Corpus[[#This Row],[Gloss.2]],"    ",Atakapa_Parsed_Corpus[[#This Row],[Gloss.4]])</f>
        <v>afterwards move-3SS-PRET Indian    lake-DIR    </v>
      </c>
      <c r="J249" s="0" t="s">
        <v>227</v>
      </c>
      <c r="K249" s="3" t="s">
        <v>1445</v>
      </c>
    </row>
    <row r="250" customFormat="false" ht="15" hidden="false" customHeight="false" outlineLevel="0" collapsed="false">
      <c r="A250" s="0" t="n">
        <v>326</v>
      </c>
      <c r="B250" s="0" t="s">
        <v>1446</v>
      </c>
      <c r="C250" s="0" t="s">
        <v>1447</v>
      </c>
      <c r="D250" s="0" t="s">
        <v>1448</v>
      </c>
      <c r="E250" s="0" t="s">
        <v>1449</v>
      </c>
      <c r="H250" s="0" t="str">
        <f aca="false">_xlfn.CONCAT(Atakapa_Parsed_Corpus[[#This Row],[Gloss.1]],"    ",Atakapa_Parsed_Corpus[[#This Row],[Gloss.3]])</f>
        <v>lo   yukhiti   ø-hal-šokoy-at      yukhit-šak-iša·k-ot    </v>
      </c>
      <c r="I250" s="0" t="str">
        <f aca="false">_xlfn.CONCAT(Atakapa_Parsed_Corpus[[#This Row],[Gloss.2]],"    ",Atakapa_Parsed_Corpus[[#This Row],[Gloss.4]])</f>
        <v>PN   Indian    3STATS-be.last-be.chief-PRET Indian-PL-person-DIR    </v>
      </c>
      <c r="J250" s="0" t="s">
        <v>1450</v>
      </c>
      <c r="K250" s="3" t="s">
        <v>1451</v>
      </c>
    </row>
    <row r="251" customFormat="false" ht="15" hidden="false" customHeight="false" outlineLevel="0" collapsed="false">
      <c r="A251" s="0" t="n">
        <v>327</v>
      </c>
      <c r="B251" s="0" t="s">
        <v>1452</v>
      </c>
      <c r="C251" s="0" t="s">
        <v>1453</v>
      </c>
      <c r="D251" s="0" t="s">
        <v>1454</v>
      </c>
      <c r="E251" s="0" t="s">
        <v>1455</v>
      </c>
      <c r="F251" s="0" t="s">
        <v>1456</v>
      </c>
      <c r="G251" s="0" t="s">
        <v>1457</v>
      </c>
      <c r="H251" s="0" t="str">
        <f aca="false">_xlfn.CONCAT(Atakapa_Parsed_Corpus[[#This Row],[Gloss.1]],"    ",Atakapa_Parsed_Corpus[[#This Row],[Gloss.3]])</f>
        <v>waŋ-pum=ya     kiš       tanuk tan-ot    hika·t ø-pak-ø-at</v>
      </c>
      <c r="I251" s="0" t="str">
        <f aca="false">_xlfn.CONCAT(Atakapa_Parsed_Corpus[[#This Row],[Gloss.2]],"    ",Atakapa_Parsed_Corpus[[#This Row],[Gloss.4]])</f>
        <v>go.about-dance=and woman one  another-DIR foot    3OBJ-step.on-3SS-PRET</v>
      </c>
      <c r="J251" s="0" t="s">
        <v>1458</v>
      </c>
      <c r="K251" s="3" t="s">
        <v>1459</v>
      </c>
    </row>
    <row r="252" customFormat="false" ht="15" hidden="false" customHeight="false" outlineLevel="0" collapsed="false">
      <c r="A252" s="0" t="n">
        <v>328</v>
      </c>
      <c r="B252" s="0" t="s">
        <v>1460</v>
      </c>
      <c r="C252" s="0" t="s">
        <v>1461</v>
      </c>
      <c r="D252" s="0" t="s">
        <v>1462</v>
      </c>
      <c r="E252" s="0" t="s">
        <v>1463</v>
      </c>
      <c r="H252" s="0" t="str">
        <f aca="false">_xlfn.CONCAT(Atakapa_Parsed_Corpus[[#This Row],[Gloss.1]],"    ",Atakapa_Parsed_Corpus[[#This Row],[Gloss.3]])</f>
        <v>ya   išak      wehet     hi-wiw-ø-hah-at    </v>
      </c>
      <c r="I252" s="0" t="str">
        <f aca="false">_xlfn.CONCAT(Atakapa_Parsed_Corpus[[#This Row],[Gloss.2]],"    ",Atakapa_Parsed_Corpus[[#This Row],[Gloss.4]])</f>
        <v>that person    I(DIR)    1SO-believe-3SS-NEG-PRET    </v>
      </c>
      <c r="J252" s="0" t="s">
        <v>1464</v>
      </c>
      <c r="K252" s="3" t="s">
        <v>1465</v>
      </c>
    </row>
    <row r="253" customFormat="false" ht="15" hidden="false" customHeight="false" outlineLevel="0" collapsed="false">
      <c r="A253" s="0" t="n">
        <v>329</v>
      </c>
      <c r="B253" s="0" t="s">
        <v>1466</v>
      </c>
      <c r="C253" s="0" t="s">
        <v>1467</v>
      </c>
      <c r="D253" s="0" t="s">
        <v>1468</v>
      </c>
      <c r="E253" s="0" t="s">
        <v>1469</v>
      </c>
      <c r="H253" s="0" t="str">
        <f aca="false">_xlfn.CONCAT(Atakapa_Parsed_Corpus[[#This Row],[Gloss.1]],"    ",Atakapa_Parsed_Corpus[[#This Row],[Gloss.3]])</f>
        <v>wehet     hi-hayu-ø-at    </v>
      </c>
      <c r="I253" s="0" t="str">
        <f aca="false">_xlfn.CONCAT(Atakapa_Parsed_Corpus[[#This Row],[Gloss.2]],"    ",Atakapa_Parsed_Corpus[[#This Row],[Gloss.4]])</f>
        <v>I(DIR)    1SO-laugh.at-3SS-PRET    </v>
      </c>
      <c r="J253" s="0" t="s">
        <v>1470</v>
      </c>
      <c r="K253" s="3" t="s">
        <v>1471</v>
      </c>
    </row>
    <row r="254" customFormat="false" ht="15" hidden="false" customHeight="false" outlineLevel="0" collapsed="false">
      <c r="A254" s="0" t="n">
        <v>330</v>
      </c>
      <c r="B254" s="0" t="s">
        <v>1472</v>
      </c>
      <c r="C254" s="0" t="s">
        <v>1473</v>
      </c>
      <c r="D254" s="0" t="s">
        <v>1474</v>
      </c>
      <c r="E254" s="0" t="s">
        <v>1475</v>
      </c>
      <c r="H254" s="0" t="str">
        <f aca="false">_xlfn.CONCAT(Atakapa_Parsed_Corpus[[#This Row],[Gloss.1]],"    ",Atakapa_Parsed_Corpus[[#This Row],[Gloss.3]])</f>
        <v>wehet     hi-miš-ø-at    </v>
      </c>
      <c r="I254" s="0" t="str">
        <f aca="false">_xlfn.CONCAT(Atakapa_Parsed_Corpus[[#This Row],[Gloss.2]],"    ",Atakapa_Parsed_Corpus[[#This Row],[Gloss.4]])</f>
        <v>I(DIR)    1SO-give-3SS-PRET    </v>
      </c>
      <c r="J254" s="0" t="s">
        <v>1476</v>
      </c>
      <c r="K254" s="3" t="s">
        <v>1477</v>
      </c>
    </row>
    <row r="255" customFormat="false" ht="15" hidden="false" customHeight="false" outlineLevel="0" collapsed="false">
      <c r="A255" s="0" t="n">
        <v>331</v>
      </c>
      <c r="B255" s="0" t="s">
        <v>1478</v>
      </c>
      <c r="C255" s="0" t="s">
        <v>1479</v>
      </c>
      <c r="D255" s="0" t="s">
        <v>1480</v>
      </c>
      <c r="E255" s="0" t="s">
        <v>1481</v>
      </c>
      <c r="H255" s="0" t="str">
        <f aca="false">_xlfn.CONCAT(Atakapa_Parsed_Corpus[[#This Row],[Gloss.1]],"    ",Atakapa_Parsed_Corpus[[#This Row],[Gloss.3]])</f>
        <v>yukit nuŋ-kin  pum       iš-hahš        a    itiyilš    </v>
      </c>
      <c r="I255" s="0" t="str">
        <f aca="false">_xlfn.CONCAT(Atakapa_Parsed_Corpus[[#This Row],[Gloss.2]],"    ",Atakapa_Parsed_Corpus[[#This Row],[Gloss.4]])</f>
        <v>our  village-LOC dance   1PLSTATS-not.have this month    </v>
      </c>
      <c r="J255" s="0" t="s">
        <v>1482</v>
      </c>
      <c r="K255" s="3" t="s">
        <v>1483</v>
      </c>
    </row>
    <row r="256" customFormat="false" ht="15" hidden="false" customHeight="false" outlineLevel="0" collapsed="false">
      <c r="A256" s="0" t="n">
        <v>333</v>
      </c>
      <c r="B256" s="0" t="s">
        <v>1484</v>
      </c>
      <c r="C256" s="0" t="s">
        <v>1485</v>
      </c>
      <c r="D256" s="0" t="s">
        <v>1486</v>
      </c>
      <c r="E256" s="0" t="s">
        <v>1487</v>
      </c>
      <c r="H256" s="0" t="str">
        <f aca="false">_xlfn.CONCAT(Atakapa_Parsed_Corpus[[#This Row],[Gloss.1]],"    ",Atakapa_Parsed_Corpus[[#This Row],[Gloss.3]])</f>
        <v>hal  yil-kin   himo·š-ul-at    </v>
      </c>
      <c r="I256" s="0" t="str">
        <f aca="false">_xlfn.CONCAT(Atakapa_Parsed_Corpus[[#This Row],[Gloss.2]],"    ",Atakapa_Parsed_Corpus[[#This Row],[Gloss.4]])</f>
        <v>next day-LOC   bury-3PLS-PRET    </v>
      </c>
      <c r="J256" s="0" t="s">
        <v>1488</v>
      </c>
      <c r="K256" s="3" t="s">
        <v>1489</v>
      </c>
    </row>
    <row r="257" customFormat="false" ht="15" hidden="false" customHeight="false" outlineLevel="0" collapsed="false">
      <c r="A257" s="0" t="n">
        <v>335</v>
      </c>
      <c r="B257" s="0" t="s">
        <v>674</v>
      </c>
      <c r="C257" s="0" t="s">
        <v>1490</v>
      </c>
      <c r="D257" s="0" t="s">
        <v>1491</v>
      </c>
      <c r="E257" s="0" t="s">
        <v>1492</v>
      </c>
      <c r="H257" s="0" t="str">
        <f aca="false">_xlfn.CONCAT(Atakapa_Parsed_Corpus[[#This Row],[Gloss.1]],"    ",Atakapa_Parsed_Corpus[[#This Row],[Gloss.3]])</f>
        <v>kawkaw    ø-am-n̥        an-ike    ø-n̥tah-n̥t-at    </v>
      </c>
      <c r="I257" s="0" t="str">
        <f aca="false">_xlfn.CONCAT(Atakapa_Parsed_Corpus[[#This Row],[Gloss.2]],"    ",Atakapa_Parsed_Corpus[[#This Row],[Gloss.4]])</f>
        <v>water     3STATS-drink-WHEN ear-EL 3STATS-come.out-CONTIN-PRET    </v>
      </c>
      <c r="J257" s="0" t="s">
        <v>678</v>
      </c>
      <c r="K257" s="3" t="s">
        <v>1493</v>
      </c>
    </row>
    <row r="258" customFormat="false" ht="15" hidden="false" customHeight="false" outlineLevel="0" collapsed="false">
      <c r="A258" s="0" t="n">
        <v>336</v>
      </c>
      <c r="B258" s="0" t="s">
        <v>1494</v>
      </c>
      <c r="C258" s="0" t="s">
        <v>1495</v>
      </c>
      <c r="D258" s="0" t="s">
        <v>1496</v>
      </c>
      <c r="E258" s="0" t="s">
        <v>1497</v>
      </c>
      <c r="H258" s="0" t="str">
        <f aca="false">_xlfn.CONCAT(Atakapa_Parsed_Corpus[[#This Row],[Gloss.1]],"    ",Atakapa_Parsed_Corpus[[#This Row],[Gloss.3]])</f>
        <v>ya   iša·k     akipay-ike ok-ø    </v>
      </c>
      <c r="I258" s="0" t="str">
        <f aca="false">_xlfn.CONCAT(Atakapa_Parsed_Corpus[[#This Row],[Gloss.2]],"    ",Atakapa_Parsed_Corpus[[#This Row],[Gloss.4]])</f>
        <v>that person    south-EL  come-3SS    </v>
      </c>
      <c r="J258" s="0" t="s">
        <v>1498</v>
      </c>
      <c r="K258" s="3" t="s">
        <v>1499</v>
      </c>
    </row>
    <row r="259" customFormat="false" ht="15" hidden="false" customHeight="false" outlineLevel="0" collapsed="false">
      <c r="A259" s="0" t="n">
        <v>337</v>
      </c>
      <c r="B259" s="0" t="s">
        <v>1500</v>
      </c>
      <c r="C259" s="0" t="s">
        <v>1501</v>
      </c>
      <c r="D259" s="0" t="s">
        <v>1502</v>
      </c>
      <c r="E259" s="0" t="s">
        <v>1503</v>
      </c>
      <c r="H259" s="0" t="str">
        <f aca="false">_xlfn.CONCAT(Atakapa_Parsed_Corpus[[#This Row],[Gloss.1]],"    ",Atakapa_Parsed_Corpus[[#This Row],[Gloss.3]])</f>
        <v>wi   ipan      pay-ok-ø-at         tay  hec-ike    </v>
      </c>
      <c r="I259" s="0" t="str">
        <f aca="false">_xlfn.CONCAT(Atakapa_Parsed_Corpus[[#This Row],[Gloss.2]],"    ",Atakapa_Parsed_Corpus[[#This Row],[Gloss.4]])</f>
        <v>my   male.cousin BACK-come-3SS-PRET river big-EL    </v>
      </c>
      <c r="J259" s="0" t="s">
        <v>1504</v>
      </c>
      <c r="K259" s="3" t="s">
        <v>1505</v>
      </c>
    </row>
    <row r="260" customFormat="false" ht="15" hidden="false" customHeight="false" outlineLevel="0" collapsed="false">
      <c r="A260" s="0" t="n">
        <v>339</v>
      </c>
      <c r="B260" s="0" t="s">
        <v>1506</v>
      </c>
      <c r="C260" s="0" t="s">
        <v>715</v>
      </c>
      <c r="D260" s="0" t="s">
        <v>1507</v>
      </c>
      <c r="E260" s="0" t="s">
        <v>1508</v>
      </c>
      <c r="F260" s="0" t="s">
        <v>1509</v>
      </c>
      <c r="G260" s="0" t="s">
        <v>1510</v>
      </c>
      <c r="H260" s="0" t="str">
        <f aca="false">_xlfn.CONCAT(Atakapa_Parsed_Corpus[[#This Row],[Gloss.1]],"    ",Atakapa_Parsed_Corpus[[#This Row],[Gloss.3]])</f>
        <v>neš  hišomš-kin yukhiti  tul-ip    lok-kin    ø-iwa·t-n           hu-nšt</v>
      </c>
      <c r="I260" s="0" t="str">
        <f aca="false">_xlfn.CONCAT(Atakapa_Parsed_Corpus[[#This Row],[Gloss.2]],"    ",Atakapa_Parsed_Corpus[[#This Row],[Gloss.4]])</f>
        <v>tree small-LOC Indian    lake-INESS prairie-LOC    3STATS-move.hither-WHEN see-CUSTOM</v>
      </c>
      <c r="J260" s="0" t="s">
        <v>720</v>
      </c>
      <c r="K260" s="3" t="s">
        <v>1511</v>
      </c>
    </row>
    <row r="261" customFormat="false" ht="15" hidden="false" customHeight="false" outlineLevel="0" collapsed="false">
      <c r="A261" s="0" t="n">
        <v>340</v>
      </c>
      <c r="B261" s="0" t="s">
        <v>501</v>
      </c>
      <c r="C261" s="0" t="s">
        <v>502</v>
      </c>
      <c r="D261" s="0" t="s">
        <v>503</v>
      </c>
      <c r="E261" s="0" t="s">
        <v>504</v>
      </c>
      <c r="H261" s="0" t="str">
        <f aca="false">_xlfn.CONCAT(Atakapa_Parsed_Corpus[[#This Row],[Gloss.1]],"    ",Atakapa_Parsed_Corpus[[#This Row],[Gloss.3]])</f>
        <v>ne·mak    oc-ip     tiš-ta    wi   ite·t     tiwe·-ta    </v>
      </c>
      <c r="I261" s="0" t="str">
        <f aca="false">_xlfn.CONCAT(Atakapa_Parsed_Corpus[[#This Row],[Gloss.2]],"    ",Atakapa_Parsed_Corpus[[#This Row],[Gloss.4]])</f>
        <v>mountain  on-INESS  go(sg)-PCPL my father    be.with-PCPL    </v>
      </c>
      <c r="J261" s="0" t="s">
        <v>1512</v>
      </c>
      <c r="K261" s="3" t="s">
        <v>1513</v>
      </c>
    </row>
    <row r="262" customFormat="false" ht="15" hidden="false" customHeight="false" outlineLevel="0" collapsed="false">
      <c r="A262" s="0" t="n">
        <v>342</v>
      </c>
      <c r="B262" s="0" t="s">
        <v>1514</v>
      </c>
      <c r="C262" s="0" t="s">
        <v>1515</v>
      </c>
      <c r="D262" s="0" t="s">
        <v>1516</v>
      </c>
      <c r="E262" s="0" t="s">
        <v>1517</v>
      </c>
      <c r="H262" s="0" t="str">
        <f aca="false">_xlfn.CONCAT(Atakapa_Parsed_Corpus[[#This Row],[Gloss.1]],"    ",Atakapa_Parsed_Corpus[[#This Row],[Gloss.3]])</f>
        <v>a    iša·k     lu-kin    tik-ta·t-ø     temak-ip    </v>
      </c>
      <c r="I262" s="0" t="str">
        <f aca="false">_xlfn.CONCAT(Atakapa_Parsed_Corpus[[#This Row],[Gloss.2]],"    ",Atakapa_Parsed_Corpus[[#This Row],[Gloss.4]])</f>
        <v>this person    mud-LOC   go.and-stand-3SS knee-INESS    </v>
      </c>
      <c r="J262" s="0" t="s">
        <v>1518</v>
      </c>
      <c r="K262" s="3" t="s">
        <v>1519</v>
      </c>
    </row>
    <row r="263" customFormat="false" ht="15" hidden="false" customHeight="false" outlineLevel="0" collapsed="false">
      <c r="A263" s="0" t="n">
        <v>343</v>
      </c>
      <c r="B263" s="0" t="s">
        <v>1520</v>
      </c>
      <c r="C263" s="0" t="s">
        <v>1521</v>
      </c>
      <c r="D263" s="0" t="s">
        <v>1522</v>
      </c>
      <c r="E263" s="0" t="s">
        <v>1523</v>
      </c>
      <c r="H263" s="0" t="str">
        <f aca="false">_xlfn.CONCAT(Atakapa_Parsed_Corpus[[#This Row],[Gloss.1]],"    ",Atakapa_Parsed_Corpus[[#This Row],[Gloss.3]])</f>
        <v>canuk-ip  itew-iših-o    tay  kipahši    </v>
      </c>
      <c r="I263" s="0" t="str">
        <f aca="false">_xlfn.CONCAT(Atakapa_Parsed_Corpus[[#This Row],[Gloss.2]],"    ",Atakapa_Parsed_Corpus[[#This Row],[Gloss.4]])</f>
        <v>horse-INESS ride-ford-1SS river across    </v>
      </c>
      <c r="J263" s="0" t="s">
        <v>1524</v>
      </c>
      <c r="K263" s="3" t="s">
        <v>1525</v>
      </c>
    </row>
    <row r="264" customFormat="false" ht="15" hidden="false" customHeight="false" outlineLevel="0" collapsed="false">
      <c r="A264" s="0" t="n">
        <v>344</v>
      </c>
      <c r="C264" s="0" t="s">
        <v>1526</v>
      </c>
      <c r="D264" s="0" t="s">
        <v>1527</v>
      </c>
      <c r="E264" s="0" t="s">
        <v>1528</v>
      </c>
      <c r="H264" s="0" t="str">
        <f aca="false">_xlfn.CONCAT(Atakapa_Parsed_Corpus[[#This Row],[Gloss.1]],"    ",Atakapa_Parsed_Corpus[[#This Row],[Gloss.3]])</f>
        <v>tu-poh-ip-waŋ    </v>
      </c>
      <c r="I264" s="0" t="str">
        <f aca="false">_xlfn.CONCAT(Atakapa_Parsed_Corpus[[#This Row],[Gloss.2]],"    ",Atakapa_Parsed_Corpus[[#This Row],[Gloss.4]])</f>
        <v>boat-smoke-INESS-go.about    </v>
      </c>
      <c r="J264" s="0" t="s">
        <v>1529</v>
      </c>
      <c r="K264" s="3" t="s">
        <v>1530</v>
      </c>
    </row>
    <row r="265" customFormat="false" ht="15" hidden="false" customHeight="false" outlineLevel="0" collapsed="false">
      <c r="A265" s="0" t="n">
        <v>345</v>
      </c>
      <c r="B265" s="0" t="s">
        <v>1531</v>
      </c>
      <c r="C265" s="0" t="s">
        <v>1006</v>
      </c>
      <c r="D265" s="0" t="s">
        <v>1532</v>
      </c>
      <c r="E265" s="0" t="s">
        <v>1533</v>
      </c>
      <c r="H265" s="0" t="str">
        <f aca="false">_xlfn.CONCAT(Atakapa_Parsed_Corpus[[#This Row],[Gloss.1]],"    ",Atakapa_Parsed_Corpus[[#This Row],[Gloss.3]])</f>
        <v>ití  tanuk-ip  yil  tutnan    o·l  pay-moh-ø-at    </v>
      </c>
      <c r="I265" s="0" t="str">
        <f aca="false">_xlfn.CONCAT(Atakapa_Parsed_Corpus[[#This Row],[Gloss.2]],"    ",Atakapa_Parsed_Corpus[[#This Row],[Gloss.4]])</f>
        <v>night one-INESS day before    near BACK-return-3SS-PRET    </v>
      </c>
      <c r="J265" s="0" t="s">
        <v>1009</v>
      </c>
      <c r="K265" s="3" t="s">
        <v>1534</v>
      </c>
    </row>
    <row r="266" customFormat="false" ht="15" hidden="false" customHeight="false" outlineLevel="0" collapsed="false">
      <c r="A266" s="0" t="n">
        <v>346</v>
      </c>
      <c r="B266" s="0" t="s">
        <v>1535</v>
      </c>
      <c r="C266" s="0" t="s">
        <v>1536</v>
      </c>
      <c r="D266" s="0" t="s">
        <v>1537</v>
      </c>
      <c r="E266" s="0" t="s">
        <v>1538</v>
      </c>
      <c r="H266" s="0" t="str">
        <f aca="false">_xlfn.CONCAT(Atakapa_Parsed_Corpus[[#This Row],[Gloss.1]],"    ",Atakapa_Parsed_Corpus[[#This Row],[Gloss.3]])</f>
        <v>ay-ip          teƛk      talkop    </v>
      </c>
      <c r="I266" s="0" t="str">
        <f aca="false">_xlfn.CONCAT(Atakapa_Parsed_Corpus[[#This Row],[Gloss.2]],"    ",Atakapa_Parsed_Corpus[[#This Row],[Gloss.4]])</f>
        <v>swamp-INESS    flower    blue    </v>
      </c>
      <c r="J266" s="0" t="s">
        <v>1539</v>
      </c>
      <c r="K266" s="3" t="s">
        <v>1540</v>
      </c>
    </row>
    <row r="267" customFormat="false" ht="15" hidden="false" customHeight="false" outlineLevel="0" collapsed="false">
      <c r="A267" s="0" t="n">
        <v>347</v>
      </c>
      <c r="B267" s="0" t="s">
        <v>1541</v>
      </c>
      <c r="C267" s="0" t="s">
        <v>1542</v>
      </c>
      <c r="D267" s="0" t="s">
        <v>1543</v>
      </c>
      <c r="E267" s="0" t="s">
        <v>1544</v>
      </c>
      <c r="H267" s="0" t="str">
        <f aca="false">_xlfn.CONCAT(Atakapa_Parsed_Corpus[[#This Row],[Gloss.1]],"    ",Atakapa_Parsed_Corpus[[#This Row],[Gloss.3]])</f>
        <v>kak-ip hiyen    </v>
      </c>
      <c r="I267" s="0" t="str">
        <f aca="false">_xlfn.CONCAT(Atakapa_Parsed_Corpus[[#This Row],[Gloss.2]],"    ",Atakapa_Parsed_Corpus[[#This Row],[Gloss.4]])</f>
        <v>forest-INESS hog    </v>
      </c>
      <c r="J267" s="0" t="s">
        <v>1545</v>
      </c>
      <c r="K267" s="3" t="s">
        <v>1546</v>
      </c>
    </row>
    <row r="268" customFormat="false" ht="15" hidden="false" customHeight="false" outlineLevel="0" collapsed="false">
      <c r="A268" s="0" t="n">
        <v>348</v>
      </c>
      <c r="B268" s="0" t="s">
        <v>1547</v>
      </c>
      <c r="C268" s="0" t="s">
        <v>1548</v>
      </c>
      <c r="D268" s="0" t="s">
        <v>1549</v>
      </c>
      <c r="E268" s="0" t="s">
        <v>1550</v>
      </c>
      <c r="H268" s="0" t="str">
        <f aca="false">_xlfn.CONCAT(Atakapa_Parsed_Corpus[[#This Row],[Gloss.1]],"    ",Atakapa_Parsed_Corpus[[#This Row],[Gloss.3]])</f>
        <v>nuŋuš-ip  šokoy    </v>
      </c>
      <c r="I268" s="0" t="str">
        <f aca="false">_xlfn.CONCAT(Atakapa_Parsed_Corpus[[#This Row],[Gloss.2]],"    ",Atakapa_Parsed_Corpus[[#This Row],[Gloss.4]])</f>
        <v>city-INESS chief    </v>
      </c>
      <c r="J268" s="0" t="s">
        <v>1551</v>
      </c>
      <c r="K268" s="3" t="s">
        <v>1552</v>
      </c>
    </row>
    <row r="269" customFormat="false" ht="15" hidden="false" customHeight="false" outlineLevel="0" collapsed="false">
      <c r="A269" s="0" t="n">
        <v>349</v>
      </c>
      <c r="B269" s="0" t="s">
        <v>1553</v>
      </c>
      <c r="C269" s="0" t="s">
        <v>1554</v>
      </c>
      <c r="D269" s="0" t="s">
        <v>1555</v>
      </c>
      <c r="E269" s="0" t="s">
        <v>1556</v>
      </c>
      <c r="H269" s="0" t="str">
        <f aca="false">_xlfn.CONCAT(Atakapa_Parsed_Corpus[[#This Row],[Gloss.1]],"    ",Atakapa_Parsed_Corpus[[#This Row],[Gloss.3]])</f>
        <v>kiwilš         yukhiti   šak-oŋš-ul    </v>
      </c>
      <c r="I269" s="0" t="str">
        <f aca="false">_xlfn.CONCAT(Atakapa_Parsed_Corpus[[#This Row],[Gloss.2]],"    ",Atakapa_Parsed_Corpus[[#This Row],[Gloss.4]])</f>
        <v>white.person   Indian    3PLO-not.like-3PLS    </v>
      </c>
      <c r="J269" s="0" t="s">
        <v>1557</v>
      </c>
      <c r="K269" s="3" t="s">
        <v>1558</v>
      </c>
    </row>
    <row r="270" customFormat="false" ht="15" hidden="false" customHeight="false" outlineLevel="0" collapsed="false">
      <c r="A270" s="0" t="n">
        <v>350</v>
      </c>
      <c r="B270" s="0" t="s">
        <v>1139</v>
      </c>
      <c r="C270" s="0" t="s">
        <v>1140</v>
      </c>
      <c r="D270" s="0" t="s">
        <v>1559</v>
      </c>
      <c r="E270" s="0" t="s">
        <v>1560</v>
      </c>
      <c r="F270" s="0" t="s">
        <v>1143</v>
      </c>
      <c r="G270" s="0" t="s">
        <v>1144</v>
      </c>
      <c r="H270" s="0" t="str">
        <f aca="false">_xlfn.CONCAT(Atakapa_Parsed_Corpus[[#This Row],[Gloss.1]],"    ",Atakapa_Parsed_Corpus[[#This Row],[Gloss.3]])</f>
        <v>čakta     yukhiti   iša·t-hat-yinc-ne        hinakka    šak-ke-at</v>
      </c>
      <c r="I270" s="0" t="str">
        <f aca="false">_xlfn.CONCAT(Atakapa_Parsed_Corpus[[#This Row],[Gloss.2]],"    ",Atakapa_Parsed_Corpus[[#This Row],[Gloss.4]])</f>
        <v>Choctaw   Indian    head-REFLEX-wrap.around-GER like    3PLSTATS-have-PRET</v>
      </c>
      <c r="J270" s="0" t="s">
        <v>1561</v>
      </c>
      <c r="K270" s="3" t="s">
        <v>1562</v>
      </c>
    </row>
    <row r="271" customFormat="false" ht="15" hidden="false" customHeight="false" outlineLevel="0" collapsed="false">
      <c r="A271" s="0" t="n">
        <v>351</v>
      </c>
      <c r="B271" s="0" t="s">
        <v>1563</v>
      </c>
      <c r="C271" s="0" t="s">
        <v>1564</v>
      </c>
      <c r="D271" s="0" t="s">
        <v>1565</v>
      </c>
      <c r="E271" s="0" t="s">
        <v>1566</v>
      </c>
      <c r="H271" s="0" t="str">
        <f aca="false">_xlfn.CONCAT(Atakapa_Parsed_Corpus[[#This Row],[Gloss.1]],"    ",Atakapa_Parsed_Corpus[[#This Row],[Gloss.3]])</f>
        <v>ha   šak-iša·k cipš-ul-at     hiwewš    tanuk may    </v>
      </c>
      <c r="I271" s="0" t="str">
        <f aca="false">_xlfn.CONCAT(Atakapa_Parsed_Corpus[[#This Row],[Gloss.2]],"    ",Atakapa_Parsed_Corpus[[#This Row],[Gloss.4]])</f>
        <v>his  PL-person move-3PLS-PRET measure   one  away    </v>
      </c>
      <c r="J271" s="0" t="s">
        <v>1567</v>
      </c>
      <c r="K271" s="3" t="s">
        <v>1568</v>
      </c>
    </row>
    <row r="272" customFormat="false" ht="15" hidden="false" customHeight="false" outlineLevel="0" collapsed="false">
      <c r="A272" s="0" t="n">
        <v>353</v>
      </c>
      <c r="B272" s="0" t="s">
        <v>1569</v>
      </c>
      <c r="C272" s="0" t="s">
        <v>1570</v>
      </c>
      <c r="D272" s="0" t="s">
        <v>1571</v>
      </c>
      <c r="E272" s="0" t="s">
        <v>1572</v>
      </c>
      <c r="H272" s="0" t="str">
        <f aca="false">_xlfn.CONCAT(Atakapa_Parsed_Corpus[[#This Row],[Gloss.1]],"    ",Atakapa_Parsed_Corpus[[#This Row],[Gloss.3]])</f>
        <v>néš-héw   šak-tám-o    </v>
      </c>
      <c r="I272" s="0" t="str">
        <f aca="false">_xlfn.CONCAT(Atakapa_Parsed_Corpus[[#This Row],[Gloss.2]],"    ",Atakapa_Parsed_Corpus[[#This Row],[Gloss.4]])</f>
        <v>tree-PL   3PLO-climb-1SS    </v>
      </c>
      <c r="J272" s="0" t="s">
        <v>1573</v>
      </c>
      <c r="K272" s="3" t="s">
        <v>1574</v>
      </c>
    </row>
    <row r="273" customFormat="false" ht="15" hidden="false" customHeight="false" outlineLevel="0" collapsed="false">
      <c r="A273" s="0" t="n">
        <v>354</v>
      </c>
      <c r="B273" s="0" t="s">
        <v>1575</v>
      </c>
      <c r="C273" s="0" t="s">
        <v>1576</v>
      </c>
      <c r="D273" s="0" t="s">
        <v>1577</v>
      </c>
      <c r="E273" s="0" t="s">
        <v>1578</v>
      </c>
      <c r="H273" s="0" t="str">
        <f aca="false">_xlfn.CONCAT(Atakapa_Parsed_Corpus[[#This Row],[Gloss.1]],"    ",Atakapa_Parsed_Corpus[[#This Row],[Gloss.3]])</f>
        <v>wi   šokyulš-hew kew-hu-n̥t-o·    </v>
      </c>
      <c r="I273" s="0" t="str">
        <f aca="false">_xlfn.CONCAT(Atakapa_Parsed_Corpus[[#This Row],[Gloss.2]],"    ",Atakapa_Parsed_Corpus[[#This Row],[Gloss.4]])</f>
        <v>I    book-PL   SIT-read-CONTIN-PHR.TERM    </v>
      </c>
      <c r="J273" s="0" t="s">
        <v>1579</v>
      </c>
      <c r="K273" s="3" t="s">
        <v>1580</v>
      </c>
    </row>
    <row r="274" customFormat="false" ht="15" hidden="false" customHeight="false" outlineLevel="0" collapsed="false">
      <c r="A274" s="0" t="n">
        <v>356</v>
      </c>
      <c r="B274" s="0" t="s">
        <v>1581</v>
      </c>
      <c r="C274" s="0" t="s">
        <v>1318</v>
      </c>
      <c r="D274" s="0" t="s">
        <v>1582</v>
      </c>
      <c r="E274" s="0" t="s">
        <v>1583</v>
      </c>
      <c r="H274" s="0" t="str">
        <f aca="false">_xlfn.CONCAT(Atakapa_Parsed_Corpus[[#This Row],[Gloss.1]],"    ",Atakapa_Parsed_Corpus[[#This Row],[Gloss.3]])</f>
        <v>tan-hew   tul-kin   pak,šak,pak-iš-at    </v>
      </c>
      <c r="I274" s="0" t="str">
        <f aca="false">_xlfn.CONCAT(Atakapa_Parsed_Corpus[[#This Row],[Gloss.2]],"    ",Atakapa_Parsed_Corpus[[#This Row],[Gloss.4]])</f>
        <v>some-PL   lake-loc  REDUP,3PLOBJ,throw.in-CAUS-PRET    </v>
      </c>
      <c r="J274" s="0" t="s">
        <v>1584</v>
      </c>
      <c r="K274" s="3" t="s">
        <v>1585</v>
      </c>
    </row>
    <row r="275" customFormat="false" ht="15" hidden="false" customHeight="false" outlineLevel="0" collapsed="false">
      <c r="A275" s="0" t="n">
        <v>357</v>
      </c>
      <c r="B275" s="0" t="s">
        <v>1586</v>
      </c>
      <c r="C275" s="0" t="s">
        <v>1086</v>
      </c>
      <c r="D275" s="0" t="s">
        <v>1087</v>
      </c>
      <c r="E275" s="0" t="s">
        <v>1088</v>
      </c>
      <c r="H275" s="0" t="str">
        <f aca="false">_xlfn.CONCAT(Atakapa_Parsed_Corpus[[#This Row],[Gloss.1]],"    ",Atakapa_Parsed_Corpus[[#This Row],[Gloss.3]])</f>
        <v>samti     ití  kuš,mel,me·l   pum  ka-ul-at    </v>
      </c>
      <c r="I275" s="0" t="str">
        <f aca="false">_xlfn.CONCAT(Atakapa_Parsed_Corpus[[#This Row],[Gloss.2]],"    ",Atakapa_Parsed_Corpus[[#This Row],[Gloss.4]])</f>
        <v>Saturday  night black.person,PL, dance make-3PLS-PRET    </v>
      </c>
      <c r="J275" s="0" t="s">
        <v>1089</v>
      </c>
      <c r="K275" s="3" t="s">
        <v>1587</v>
      </c>
    </row>
    <row r="276" customFormat="false" ht="15" hidden="false" customHeight="false" outlineLevel="0" collapsed="false">
      <c r="A276" s="0" t="n">
        <v>358</v>
      </c>
      <c r="B276" s="0" t="s">
        <v>1588</v>
      </c>
      <c r="C276" s="0" t="s">
        <v>1589</v>
      </c>
      <c r="D276" s="0" t="s">
        <v>1590</v>
      </c>
      <c r="E276" s="0" t="s">
        <v>1591</v>
      </c>
      <c r="H276" s="0" t="str">
        <f aca="false">_xlfn.CONCAT(Atakapa_Parsed_Corpus[[#This Row],[Gloss.1]],"    ",Atakapa_Parsed_Corpus[[#This Row],[Gloss.3]])</f>
        <v>keš       šak-šoke·š-yoht     wi   šak-hi-nay    </v>
      </c>
      <c r="I276" s="0" t="str">
        <f aca="false">_xlfn.CONCAT(Atakapa_Parsed_Corpus[[#This Row],[Gloss.2]],"    ",Atakapa_Parsed_Corpus[[#This Row],[Gloss.4]])</f>
        <v>women     3PLSTATS-sick-lie(pl) I  3PLO-1STATS-think    </v>
      </c>
      <c r="J276" s="0" t="s">
        <v>1592</v>
      </c>
      <c r="K276" s="3" t="s">
        <v>1593</v>
      </c>
    </row>
    <row r="277" customFormat="false" ht="15" hidden="false" customHeight="false" outlineLevel="0" collapsed="false">
      <c r="A277" s="0" t="n">
        <v>359</v>
      </c>
      <c r="B277" s="0" t="s">
        <v>1594</v>
      </c>
      <c r="C277" s="0" t="s">
        <v>1595</v>
      </c>
      <c r="D277" s="0" t="s">
        <v>1596</v>
      </c>
      <c r="E277" s="0" t="s">
        <v>1597</v>
      </c>
      <c r="H277" s="0" t="str">
        <f aca="false">_xlfn.CONCAT(Atakapa_Parsed_Corpus[[#This Row],[Gloss.1]],"    ",Atakapa_Parsed_Corpus[[#This Row],[Gloss.3]])</f>
        <v>té-waš    ø-wiló-tit    </v>
      </c>
      <c r="I277" s="0" t="str">
        <f aca="false">_xlfn.CONCAT(Atakapa_Parsed_Corpus[[#This Row],[Gloss.2]],"    ",Atakapa_Parsed_Corpus[[#This Row],[Gloss.4]])</f>
        <v>PL-leaf   3STATS-fall(pl)-PROG(PL)    </v>
      </c>
      <c r="J277" s="0" t="s">
        <v>1598</v>
      </c>
      <c r="K277" s="3" t="s">
        <v>1599</v>
      </c>
    </row>
    <row r="278" customFormat="false" ht="15" hidden="false" customHeight="false" outlineLevel="0" collapsed="false">
      <c r="A278" s="0" t="n">
        <v>360</v>
      </c>
      <c r="B278" s="0" t="s">
        <v>1600</v>
      </c>
      <c r="C278" s="0" t="s">
        <v>1601</v>
      </c>
      <c r="D278" s="0" t="s">
        <v>1602</v>
      </c>
      <c r="E278" s="0" t="s">
        <v>1603</v>
      </c>
      <c r="H278" s="0" t="str">
        <f aca="false">_xlfn.CONCAT(Atakapa_Parsed_Corpus[[#This Row],[Gloss.1]],"    ",Atakapa_Parsed_Corpus[[#This Row],[Gloss.3]])</f>
        <v>iša·k     kaw  aŋ   law-i-ul-at.    </v>
      </c>
      <c r="I278" s="0" t="str">
        <f aca="false">_xlfn.CONCAT(Atakapa_Parsed_Corpus[[#This Row],[Gloss.2]],"    ",Atakapa_Parsed_Corpus[[#This Row],[Gloss.4]])</f>
        <v>person    dead house burn-CAUS-3PLS-PRET    </v>
      </c>
      <c r="J278" s="0" t="s">
        <v>1604</v>
      </c>
      <c r="K278" s="3" t="s">
        <v>1605</v>
      </c>
    </row>
    <row r="279" customFormat="false" ht="15" hidden="false" customHeight="false" outlineLevel="0" collapsed="false">
      <c r="A279" s="0" t="n">
        <v>361</v>
      </c>
      <c r="B279" s="0" t="s">
        <v>1268</v>
      </c>
      <c r="C279" s="0" t="s">
        <v>1269</v>
      </c>
      <c r="D279" s="0" t="s">
        <v>1270</v>
      </c>
      <c r="E279" s="0" t="s">
        <v>1271</v>
      </c>
      <c r="H279" s="0" t="str">
        <f aca="false">_xlfn.CONCAT(Atakapa_Parsed_Corpus[[#This Row],[Gloss.1]],"    ",Atakapa_Parsed_Corpus[[#This Row],[Gloss.3]])</f>
        <v>ha   iša·t ha  uš   mo·n ø-naw-šim    </v>
      </c>
      <c r="I279" s="0" t="str">
        <f aca="false">_xlfn.CONCAT(Atakapa_Parsed_Corpus[[#This Row],[Gloss.2]],"    ",Atakapa_Parsed_Corpus[[#This Row],[Gloss.4]])</f>
        <v>his  head his  body all  3STATS-hair-NOTHING.BUT    </v>
      </c>
      <c r="J279" s="0" t="s">
        <v>1606</v>
      </c>
      <c r="K279" s="3" t="s">
        <v>1607</v>
      </c>
    </row>
    <row r="280" customFormat="false" ht="15" hidden="false" customHeight="false" outlineLevel="0" collapsed="false">
      <c r="A280" s="0" t="n">
        <v>363</v>
      </c>
      <c r="B280" s="0" t="s">
        <v>1608</v>
      </c>
      <c r="C280" s="0" t="s">
        <v>1609</v>
      </c>
      <c r="D280" s="0" t="s">
        <v>1610</v>
      </c>
      <c r="E280" s="0" t="s">
        <v>1611</v>
      </c>
      <c r="H280" s="0" t="str">
        <f aca="false">_xlfn.CONCAT(Atakapa_Parsed_Corpus[[#This Row],[Gloss.1]],"    ",Atakapa_Parsed_Corpus[[#This Row],[Gloss.3]])</f>
        <v>wi   kulša     šukuhuy   yukhiti   ø-šokoy-at    </v>
      </c>
      <c r="I280" s="0" t="str">
        <f aca="false">_xlfn.CONCAT(Atakapa_Parsed_Corpus[[#This Row],[Gloss.2]],"    ",Atakapa_Parsed_Corpus[[#This Row],[Gloss.4]])</f>
        <v>my   grandfather PN      Indian    3STATS-be.chief-PRET    </v>
      </c>
      <c r="J280" s="0" t="s">
        <v>1612</v>
      </c>
      <c r="K280" s="3" t="s">
        <v>1613</v>
      </c>
    </row>
    <row r="281" customFormat="false" ht="15" hidden="false" customHeight="false" outlineLevel="0" collapsed="false">
      <c r="A281" s="0" t="n">
        <v>364</v>
      </c>
      <c r="B281" s="0" t="s">
        <v>1614</v>
      </c>
      <c r="C281" s="0" t="s">
        <v>1615</v>
      </c>
      <c r="D281" s="0" t="s">
        <v>1616</v>
      </c>
      <c r="E281" s="0" t="s">
        <v>1617</v>
      </c>
      <c r="F281" s="0" t="s">
        <v>1618</v>
      </c>
      <c r="G281" s="0" t="s">
        <v>1619</v>
      </c>
      <c r="H281" s="0" t="str">
        <f aca="false">_xlfn.CONCAT(Atakapa_Parsed_Corpus[[#This Row],[Gloss.1]],"    ",Atakapa_Parsed_Corpus[[#This Row],[Gloss.3]])</f>
        <v>šak-tal-ko     yukhiti   iša·k kaw ha   tal  ø-ko-at    hinak     šak-yoŋš-ul-at</v>
      </c>
      <c r="I281" s="0" t="str">
        <f aca="false">_xlfn.CONCAT(Atakapa_Parsed_Corpus[[#This Row],[Gloss.2]],"    ",Atakapa_Parsed_Corpus[[#This Row],[Gloss.4]])</f>
        <v>PL-skin-wanter Indian    person dead his skin 3STATS-want-PRET    be.like   3PLO-call-3PLO-PRET</v>
      </c>
      <c r="J281" s="0" t="s">
        <v>1620</v>
      </c>
      <c r="K281" s="3" t="s">
        <v>1621</v>
      </c>
    </row>
    <row r="282" customFormat="false" ht="15" hidden="false" customHeight="false" outlineLevel="0" collapsed="false">
      <c r="A282" s="0" t="n">
        <v>365</v>
      </c>
      <c r="B282" s="0" t="s">
        <v>1622</v>
      </c>
      <c r="C282" s="0" t="s">
        <v>1623</v>
      </c>
      <c r="D282" s="0" t="s">
        <v>1624</v>
      </c>
      <c r="E282" s="0" t="s">
        <v>1625</v>
      </c>
      <c r="H282" s="0" t="str">
        <f aca="false">_xlfn.CONCAT(Atakapa_Parsed_Corpus[[#This Row],[Gloss.1]],"    ",Atakapa_Parsed_Corpus[[#This Row],[Gloss.3]])</f>
        <v>iša·k     hew  hakit e·ŋ-ip   šak-wahuš-o    </v>
      </c>
      <c r="I282" s="0" t="str">
        <f aca="false">_xlfn.CONCAT(Atakapa_Parsed_Corpus[[#This Row],[Gloss.2]],"    ",Atakapa_Parsed_Corpus[[#This Row],[Gloss.4]])</f>
        <v>person    many their name-INESS 3PLO-call-1SS    </v>
      </c>
      <c r="J282" s="0" t="s">
        <v>1626</v>
      </c>
      <c r="K282" s="3" t="s">
        <v>1627</v>
      </c>
    </row>
    <row r="283" customFormat="false" ht="15" hidden="false" customHeight="false" outlineLevel="0" collapsed="false">
      <c r="A283" s="0" t="n">
        <v>366</v>
      </c>
      <c r="C283" s="0" t="s">
        <v>1628</v>
      </c>
      <c r="D283" s="0" t="s">
        <v>1629</v>
      </c>
      <c r="E283" s="0" t="s">
        <v>1630</v>
      </c>
      <c r="H283" s="0" t="str">
        <f aca="false">_xlfn.CONCAT(Atakapa_Parsed_Corpus[[#This Row],[Gloss.1]],"    ",Atakapa_Parsed_Corpus[[#This Row],[Gloss.3]])</f>
        <v>wi-iš wi  ite·t hi-yanyan-hahš-at    </v>
      </c>
      <c r="I283" s="0" t="str">
        <f aca="false">_xlfn.CONCAT(Atakapa_Parsed_Corpus[[#This Row],[Gloss.2]],"    ",Atakapa_Parsed_Corpus[[#This Row],[Gloss.4]])</f>
        <v>I-FOC my  father 1SSTATS-fear-NEG-PRET    </v>
      </c>
      <c r="J283" s="0" t="s">
        <v>1631</v>
      </c>
      <c r="K283" s="3" t="s">
        <v>1632</v>
      </c>
    </row>
    <row r="284" customFormat="false" ht="15" hidden="false" customHeight="false" outlineLevel="0" collapsed="false">
      <c r="A284" s="0" t="n">
        <v>367</v>
      </c>
      <c r="B284" s="0" t="s">
        <v>1633</v>
      </c>
      <c r="C284" s="0" t="s">
        <v>1634</v>
      </c>
      <c r="D284" s="0" t="s">
        <v>1635</v>
      </c>
      <c r="E284" s="0" t="s">
        <v>1636</v>
      </c>
      <c r="H284" s="0" t="str">
        <f aca="false">_xlfn.CONCAT(Atakapa_Parsed_Corpus[[#This Row],[Gloss.1]],"    ",Atakapa_Parsed_Corpus[[#This Row],[Gloss.3]])</f>
        <v>ha-iš     hipa      ø-hahš-at           hi-uhc     atkaki    </v>
      </c>
      <c r="I284" s="0" t="str">
        <f aca="false">_xlfn.CONCAT(Atakapa_Parsed_Corpus[[#This Row],[Gloss.2]],"    ",Atakapa_Parsed_Corpus[[#This Row],[Gloss.4]])</f>
        <v>she-FOC   husband   3STATS-not.have-PRET 1SSTATS-know since    </v>
      </c>
      <c r="J284" s="0" t="s">
        <v>1637</v>
      </c>
      <c r="K284" s="3" t="s">
        <v>1638</v>
      </c>
    </row>
    <row r="285" customFormat="false" ht="15" hidden="false" customHeight="false" outlineLevel="0" collapsed="false">
      <c r="A285" s="0" t="n">
        <v>368</v>
      </c>
      <c r="B285" s="0" t="s">
        <v>1639</v>
      </c>
      <c r="C285" s="0" t="s">
        <v>1640</v>
      </c>
      <c r="D285" s="0" t="s">
        <v>1641</v>
      </c>
      <c r="E285" s="0" t="s">
        <v>1642</v>
      </c>
      <c r="H285" s="0" t="str">
        <f aca="false">_xlfn.CONCAT(Atakapa_Parsed_Corpus[[#This Row],[Gloss.1]],"    ",Atakapa_Parsed_Corpus[[#This Row],[Gloss.3]])</f>
        <v>keš=n̥         šakyol    te·š mo·n šak-maŋ,maŋ-at    </v>
      </c>
      <c r="I285" s="0" t="str">
        <f aca="false">_xlfn.CONCAT(Atakapa_Parsed_Corpus[[#This Row],[Gloss.2]],"    ",Atakapa_Parsed_Corpus[[#This Row],[Gloss.4]])</f>
        <v>woman(pl)=and  man       hair all  3PLSTATS-REDUP, be.long-PRET    </v>
      </c>
      <c r="J285" s="0" t="s">
        <v>1643</v>
      </c>
      <c r="K285" s="3" t="s">
        <v>1644</v>
      </c>
    </row>
    <row r="286" customFormat="false" ht="15" hidden="false" customHeight="false" outlineLevel="0" collapsed="false">
      <c r="A286" s="0" t="n">
        <v>369</v>
      </c>
      <c r="B286" s="0" t="s">
        <v>1645</v>
      </c>
      <c r="C286" s="0" t="s">
        <v>1646</v>
      </c>
      <c r="D286" s="0" t="s">
        <v>1647</v>
      </c>
      <c r="E286" s="0" t="s">
        <v>1648</v>
      </c>
      <c r="H286" s="0" t="str">
        <f aca="false">_xlfn.CONCAT(Atakapa_Parsed_Corpus[[#This Row],[Gloss.1]],"    ",Atakapa_Parsed_Corpus[[#This Row],[Gloss.3]])</f>
        <v>cahta-iš  hakit nomš     iša·t     šak-,pal,pal-iš-ø-at    </v>
      </c>
      <c r="I286" s="0" t="str">
        <f aca="false">_xlfn.CONCAT(Atakapa_Parsed_Corpus[[#This Row],[Gloss.2]],"    ",Atakapa_Parsed_Corpus[[#This Row],[Gloss.4]])</f>
        <v>Choctaw-FOC their child  head      3PLO-,REDUP,be.flat-CAUS-3SS-PRET    </v>
      </c>
      <c r="J286" s="0" t="s">
        <v>1649</v>
      </c>
      <c r="K286" s="3" t="s">
        <v>1650</v>
      </c>
    </row>
    <row r="287" customFormat="false" ht="15" hidden="false" customHeight="false" outlineLevel="0" collapsed="false">
      <c r="A287" s="0" t="n">
        <v>370</v>
      </c>
      <c r="C287" s="0" t="s">
        <v>1628</v>
      </c>
      <c r="D287" s="0" t="s">
        <v>1629</v>
      </c>
      <c r="E287" s="0" t="s">
        <v>1630</v>
      </c>
      <c r="H287" s="0" t="str">
        <f aca="false">_xlfn.CONCAT(Atakapa_Parsed_Corpus[[#This Row],[Gloss.1]],"    ",Atakapa_Parsed_Corpus[[#This Row],[Gloss.3]])</f>
        <v>wi-iš wi  ite·t hi-yanyan-hahš-at    </v>
      </c>
      <c r="I287" s="0" t="str">
        <f aca="false">_xlfn.CONCAT(Atakapa_Parsed_Corpus[[#This Row],[Gloss.2]],"    ",Atakapa_Parsed_Corpus[[#This Row],[Gloss.4]])</f>
        <v>I-FOC my  father 1SSTATS-fear-NEG-PRET    </v>
      </c>
      <c r="J287" s="0" t="s">
        <v>1631</v>
      </c>
      <c r="K287" s="3" t="s">
        <v>1651</v>
      </c>
    </row>
    <row r="288" customFormat="false" ht="15" hidden="false" customHeight="false" outlineLevel="0" collapsed="false">
      <c r="A288" s="0" t="n">
        <v>371</v>
      </c>
      <c r="B288" s="0" t="s">
        <v>1652</v>
      </c>
      <c r="C288" s="0" t="s">
        <v>1653</v>
      </c>
      <c r="D288" s="0" t="s">
        <v>1654</v>
      </c>
      <c r="E288" s="0" t="s">
        <v>1655</v>
      </c>
      <c r="H288" s="0" t="str">
        <f aca="false">_xlfn.CONCAT(Atakapa_Parsed_Corpus[[#This Row],[Gloss.1]],"    ",Atakapa_Parsed_Corpus[[#This Row],[Gloss.3]])</f>
        <v>ya-iš     na-ik          tutayhahš n̥-ka-kit    </v>
      </c>
      <c r="I288" s="0" t="str">
        <f aca="false">_xlfn.CONCAT(Atakapa_Parsed_Corpus[[#This Row],[Gloss.2]],"    ",Atakapa_Parsed_Corpus[[#This Row],[Gloss.4]])</f>
        <v>that-FOC  you-ERG.AGNT   in.vain   2SSTATS-do-PROG    </v>
      </c>
      <c r="J288" s="0" t="s">
        <v>1656</v>
      </c>
      <c r="K288" s="3" t="s">
        <v>1657</v>
      </c>
    </row>
    <row r="289" customFormat="false" ht="15" hidden="false" customHeight="false" outlineLevel="0" collapsed="false">
      <c r="A289" s="0" t="n">
        <v>372</v>
      </c>
      <c r="B289" s="0" t="s">
        <v>376</v>
      </c>
      <c r="C289" s="0" t="s">
        <v>1658</v>
      </c>
      <c r="D289" s="0" t="s">
        <v>378</v>
      </c>
      <c r="E289" s="0" t="s">
        <v>1659</v>
      </c>
      <c r="F289" s="0" t="s">
        <v>380</v>
      </c>
      <c r="G289" s="0" t="s">
        <v>381</v>
      </c>
      <c r="H289" s="0" t="str">
        <f aca="false">_xlfn.CONCAT(Atakapa_Parsed_Corpus[[#This Row],[Gloss.1]],"    ",Atakapa_Parsed_Corpus[[#This Row],[Gloss.3]])</f>
        <v>šók       hi-wine-at     na-ik-š        nahka    n̥-wanc-n̥</v>
      </c>
      <c r="I289" s="0" t="str">
        <f aca="false">_xlfn.CONCAT(Atakapa_Parsed_Corpus[[#This Row],[Gloss.2]],"    ",Atakapa_Parsed_Corpus[[#This Row],[Gloss.4]])</f>
        <v>something 1SSTATS-find-PRET you-ERG.AGNT-FOC must.not    2SSTATS-tell-IF</v>
      </c>
      <c r="J289" s="0" t="s">
        <v>382</v>
      </c>
      <c r="K289" s="3" t="s">
        <v>1660</v>
      </c>
    </row>
    <row r="290" customFormat="false" ht="15" hidden="false" customHeight="false" outlineLevel="0" collapsed="false">
      <c r="A290" s="0" t="n">
        <v>373</v>
      </c>
      <c r="B290" s="0" t="s">
        <v>1661</v>
      </c>
      <c r="C290" s="0" t="s">
        <v>689</v>
      </c>
      <c r="D290" s="0" t="s">
        <v>1662</v>
      </c>
      <c r="E290" s="0" t="s">
        <v>691</v>
      </c>
      <c r="F290" s="0" t="s">
        <v>692</v>
      </c>
      <c r="G290" s="0" t="s">
        <v>693</v>
      </c>
      <c r="H290" s="0" t="str">
        <f aca="false">_xlfn.CONCAT(Atakapa_Parsed_Corpus[[#This Row],[Gloss.1]],"    ",Atakapa_Parsed_Corpus[[#This Row],[Gloss.3]])</f>
        <v>kéw-ƛukš-ki-nt-o·             ná-ik-iš    kew-yulš-ki-nt-o·</v>
      </c>
      <c r="I290" s="0" t="str">
        <f aca="false">_xlfn.CONCAT(Atakapa_Parsed_Corpus[[#This Row],[Gloss.2]],"    ",Atakapa_Parsed_Corpus[[#This Row],[Gloss.4]])</f>
        <v>SIT-smoke.tobacco-FC-CONTIN-PHR:TERM you(sg)-ERG.AGNT-FOC    SIT-write-FC-CONTIN-PHR.TERM</v>
      </c>
      <c r="J290" s="0" t="s">
        <v>1663</v>
      </c>
      <c r="K290" s="3" t="s">
        <v>1664</v>
      </c>
    </row>
    <row r="291" customFormat="false" ht="15" hidden="false" customHeight="false" outlineLevel="0" collapsed="false">
      <c r="A291" s="0" t="n">
        <v>374</v>
      </c>
      <c r="B291" s="0" t="s">
        <v>1665</v>
      </c>
      <c r="C291" s="0" t="s">
        <v>1666</v>
      </c>
      <c r="D291" s="0" t="s">
        <v>1667</v>
      </c>
      <c r="E291" s="0" t="s">
        <v>1668</v>
      </c>
      <c r="F291" s="0" t="s">
        <v>1669</v>
      </c>
      <c r="G291" s="0" t="s">
        <v>1670</v>
      </c>
      <c r="H291" s="0" t="str">
        <f aca="false">_xlfn.CONCAT(Atakapa_Parsed_Corpus[[#This Row],[Gloss.1]],"    ",Atakapa_Parsed_Corpus[[#This Row],[Gloss.3]])</f>
        <v>wi   kulša     ø-kaw-kin=ya        ha-iš     yilke     tul    maynoy    cipš-ø-at</v>
      </c>
      <c r="I291" s="0" t="str">
        <f aca="false">_xlfn.CONCAT(Atakapa_Parsed_Corpus[[#This Row],[Gloss.2]],"    ",Atakapa_Parsed_Corpus[[#This Row],[Gloss.4]])</f>
        <v>my   grandfather 3STATS-die-WHEN=and she-FOC marry     lake    other.side move-3SS-PRET</v>
      </c>
      <c r="J291" s="0" t="s">
        <v>1671</v>
      </c>
      <c r="K291" s="3" t="s">
        <v>1672</v>
      </c>
    </row>
    <row r="292" customFormat="false" ht="15" hidden="false" customHeight="false" outlineLevel="0" collapsed="false">
      <c r="A292" s="0" t="n">
        <v>375</v>
      </c>
      <c r="B292" s="0" t="s">
        <v>229</v>
      </c>
      <c r="C292" s="0" t="s">
        <v>230</v>
      </c>
      <c r="D292" s="0" t="s">
        <v>1673</v>
      </c>
      <c r="E292" s="0" t="s">
        <v>232</v>
      </c>
      <c r="H292" s="0" t="str">
        <f aca="false">_xlfn.CONCAT(Atakapa_Parsed_Corpus[[#This Row],[Gloss.1]],"    ",Atakapa_Parsed_Corpus[[#This Row],[Gloss.3]])</f>
        <v>yukit-š   iš-hat-ciškiš-at         yukit oke·t hu-ne.    </v>
      </c>
      <c r="I292" s="0" t="str">
        <f aca="false">_xlfn.CONCAT(Atakapa_Parsed_Corpus[[#This Row],[Gloss.2]],"    ",Atakapa_Parsed_Corpus[[#This Row],[Gloss.4]])</f>
        <v>we-FOC    1PLSTATS-REFLEX-be:glad-PRET our mother see-GER    </v>
      </c>
      <c r="J292" s="0" t="s">
        <v>233</v>
      </c>
      <c r="K292" s="3" t="s">
        <v>1674</v>
      </c>
    </row>
    <row r="293" customFormat="false" ht="15" hidden="false" customHeight="false" outlineLevel="0" collapsed="false">
      <c r="A293" s="0" t="n">
        <v>376</v>
      </c>
      <c r="B293" s="0" t="s">
        <v>1675</v>
      </c>
      <c r="C293" s="0" t="s">
        <v>1676</v>
      </c>
      <c r="D293" s="0" t="s">
        <v>1677</v>
      </c>
      <c r="E293" s="0" t="s">
        <v>1678</v>
      </c>
      <c r="H293" s="0" t="str">
        <f aca="false">_xlfn.CONCAT(Atakapa_Parsed_Corpus[[#This Row],[Gloss.1]],"    ",Atakapa_Parsed_Corpus[[#This Row],[Gloss.3]])</f>
        <v>yukit-ik  n̥-hu-cel    </v>
      </c>
      <c r="I293" s="0" t="str">
        <f aca="false">_xlfn.CONCAT(Atakapa_Parsed_Corpus[[#This Row],[Gloss.2]],"    ",Atakapa_Parsed_Corpus[[#This Row],[Gloss.4]])</f>
        <v>we-ERG.AGNT 2SO-see-1PLS    </v>
      </c>
      <c r="J293" s="0" t="s">
        <v>1679</v>
      </c>
      <c r="K293" s="3" t="s">
        <v>1680</v>
      </c>
    </row>
    <row r="294" customFormat="false" ht="15" hidden="false" customHeight="false" outlineLevel="0" collapsed="false">
      <c r="A294" s="0" t="n">
        <v>377</v>
      </c>
      <c r="B294" s="0" t="s">
        <v>743</v>
      </c>
      <c r="C294" s="0" t="s">
        <v>744</v>
      </c>
      <c r="D294" s="0" t="s">
        <v>1681</v>
      </c>
      <c r="E294" s="0" t="s">
        <v>746</v>
      </c>
      <c r="H294" s="0" t="str">
        <f aca="false">_xlfn.CONCAT(Atakapa_Parsed_Corpus[[#This Row],[Gloss.1]],"    ",Atakapa_Parsed_Corpus[[#This Row],[Gloss.3]])</f>
        <v>nakit     nak-yah-inš    </v>
      </c>
      <c r="I294" s="0" t="str">
        <f aca="false">_xlfn.CONCAT(Atakapa_Parsed_Corpus[[#This Row],[Gloss.2]],"    ",Atakapa_Parsed_Corpus[[#This Row],[Gloss.4]])</f>
        <v>you(pl)   2PLSTATS-eat-HABIT    </v>
      </c>
      <c r="J294" s="0" t="s">
        <v>1682</v>
      </c>
      <c r="K294" s="3" t="s">
        <v>1683</v>
      </c>
    </row>
    <row r="295" customFormat="false" ht="15" hidden="false" customHeight="false" outlineLevel="0" collapsed="false">
      <c r="A295" s="0" t="n">
        <v>378</v>
      </c>
      <c r="B295" s="0" t="s">
        <v>1684</v>
      </c>
      <c r="C295" s="0" t="s">
        <v>1685</v>
      </c>
      <c r="D295" s="0" t="s">
        <v>1686</v>
      </c>
      <c r="E295" s="0" t="s">
        <v>1687</v>
      </c>
      <c r="H295" s="0" t="str">
        <f aca="false">_xlfn.CONCAT(Atakapa_Parsed_Corpus[[#This Row],[Gloss.1]],"    ",Atakapa_Parsed_Corpus[[#This Row],[Gloss.3]])</f>
        <v>yokon     šak-yok-ø-at        hakit-ot    </v>
      </c>
      <c r="I295" s="0" t="str">
        <f aca="false">_xlfn.CONCAT(Atakapa_Parsed_Corpus[[#This Row],[Gloss.2]],"    ",Atakapa_Parsed_Corpus[[#This Row],[Gloss.4]])</f>
        <v>song      3PLO-sing-3SS-PRET  they-DIR    </v>
      </c>
      <c r="J295" s="0" t="s">
        <v>1688</v>
      </c>
      <c r="K295" s="3" t="s">
        <v>1689</v>
      </c>
    </row>
    <row r="296" customFormat="false" ht="15" hidden="false" customHeight="false" outlineLevel="0" collapsed="false">
      <c r="A296" s="0" t="n">
        <v>379</v>
      </c>
      <c r="B296" s="0" t="s">
        <v>1690</v>
      </c>
      <c r="C296" s="0" t="s">
        <v>1691</v>
      </c>
      <c r="D296" s="0" t="s">
        <v>1692</v>
      </c>
      <c r="E296" s="0" t="s">
        <v>1693</v>
      </c>
      <c r="F296" s="0" t="s">
        <v>1694</v>
      </c>
      <c r="G296" s="0" t="s">
        <v>1695</v>
      </c>
      <c r="H296" s="0" t="str">
        <f aca="false">_xlfn.CONCAT(Atakapa_Parsed_Corpus[[#This Row],[Gloss.1]],"    ",Atakapa_Parsed_Corpus[[#This Row],[Gloss.3]])</f>
        <v>kišto·t ha nil      yoyot ha  iškišil   hahuwi·t    ø-kaw-at       a    nuŋ-kin</v>
      </c>
      <c r="I296" s="0" t="str">
        <f aca="false">_xlfn.CONCAT(Atakapa_Parsed_Corpus[[#This Row],[Gloss.2]],"    ",Atakapa_Parsed_Corpus[[#This Row],[Gloss.4]])</f>
        <v>PN     her grandchild PN her  daughter  previously    3STATS-die-PRET this village-LOC</v>
      </c>
      <c r="J296" s="0" t="s">
        <v>1696</v>
      </c>
      <c r="K296" s="3" t="s">
        <v>1697</v>
      </c>
    </row>
    <row r="297" customFormat="false" ht="15" hidden="false" customHeight="false" outlineLevel="0" collapsed="false">
      <c r="A297" s="0" t="n">
        <v>380</v>
      </c>
      <c r="B297" s="0" t="s">
        <v>1478</v>
      </c>
      <c r="C297" s="0" t="s">
        <v>1698</v>
      </c>
      <c r="D297" s="0" t="s">
        <v>1480</v>
      </c>
      <c r="E297" s="0" t="s">
        <v>1481</v>
      </c>
      <c r="H297" s="0" t="str">
        <f aca="false">_xlfn.CONCAT(Atakapa_Parsed_Corpus[[#This Row],[Gloss.1]],"    ",Atakapa_Parsed_Corpus[[#This Row],[Gloss.3]])</f>
        <v>yukit nuŋ-kin  pum       iš-hahš        a    itiyilš    </v>
      </c>
      <c r="I297" s="0" t="str">
        <f aca="false">_xlfn.CONCAT(Atakapa_Parsed_Corpus[[#This Row],[Gloss.2]],"    ",Atakapa_Parsed_Corpus[[#This Row],[Gloss.4]])</f>
        <v>our  village-LOC dance   1PLSTATS-not.have this month    </v>
      </c>
      <c r="J297" s="0" t="s">
        <v>1482</v>
      </c>
      <c r="K297" s="3" t="s">
        <v>1699</v>
      </c>
    </row>
    <row r="298" customFormat="false" ht="15" hidden="false" customHeight="false" outlineLevel="0" collapsed="false">
      <c r="A298" s="0" t="n">
        <v>381</v>
      </c>
      <c r="C298" s="0" t="s">
        <v>1700</v>
      </c>
      <c r="D298" s="0" t="s">
        <v>1701</v>
      </c>
      <c r="E298" s="0" t="s">
        <v>1702</v>
      </c>
      <c r="H298" s="0" t="str">
        <f aca="false">_xlfn.CONCAT(Atakapa_Parsed_Corpus[[#This Row],[Gloss.1]],"    ",Atakapa_Parsed_Corpus[[#This Row],[Gloss.3]])</f>
        <v>a-iš      ø-me·l-uš    </v>
      </c>
      <c r="I298" s="0" t="str">
        <f aca="false">_xlfn.CONCAT(Atakapa_Parsed_Corpus[[#This Row],[Gloss.2]],"    ",Atakapa_Parsed_Corpus[[#This Row],[Gloss.4]])</f>
        <v>this-FOC  3STATS-be.black-be.true    </v>
      </c>
      <c r="J298" s="0" t="s">
        <v>1703</v>
      </c>
      <c r="K298" s="3" t="s">
        <v>1704</v>
      </c>
    </row>
    <row r="299" customFormat="false" ht="15" hidden="false" customHeight="false" outlineLevel="0" collapsed="false">
      <c r="A299" s="0" t="n">
        <v>382</v>
      </c>
      <c r="B299" s="0" t="s">
        <v>1705</v>
      </c>
      <c r="C299" s="0" t="s">
        <v>1706</v>
      </c>
      <c r="D299" s="0" t="s">
        <v>1707</v>
      </c>
      <c r="E299" s="0" t="s">
        <v>1708</v>
      </c>
      <c r="H299" s="0" t="str">
        <f aca="false">_xlfn.CONCAT(Atakapa_Parsed_Corpus[[#This Row],[Gloss.1]],"    ",Atakapa_Parsed_Corpus[[#This Row],[Gloss.3]])</f>
        <v>a         ø-ok-kit    </v>
      </c>
      <c r="I299" s="0" t="str">
        <f aca="false">_xlfn.CONCAT(Atakapa_Parsed_Corpus[[#This Row],[Gloss.2]],"    ",Atakapa_Parsed_Corpus[[#This Row],[Gloss.4]])</f>
        <v>this.person 3STATS-come-PROG(SG)    </v>
      </c>
      <c r="J299" s="0" t="s">
        <v>1709</v>
      </c>
      <c r="K299" s="3" t="s">
        <v>1710</v>
      </c>
    </row>
    <row r="300" customFormat="false" ht="15" hidden="false" customHeight="false" outlineLevel="0" collapsed="false">
      <c r="A300" s="0" t="n">
        <v>384</v>
      </c>
      <c r="C300" s="0" t="s">
        <v>1711</v>
      </c>
      <c r="D300" s="0" t="s">
        <v>1712</v>
      </c>
      <c r="E300" s="0" t="s">
        <v>1713</v>
      </c>
      <c r="H300" s="0" t="str">
        <f aca="false">_xlfn.CONCAT(Atakapa_Parsed_Corpus[[#This Row],[Gloss.1]],"    ",Atakapa_Parsed_Corpus[[#This Row],[Gloss.3]])</f>
        <v>ya   kawšne    paƛ-ø-at    </v>
      </c>
      <c r="I300" s="0" t="str">
        <f aca="false">_xlfn.CONCAT(Atakapa_Parsed_Corpus[[#This Row],[Gloss.2]],"    ",Atakapa_Parsed_Corpus[[#This Row],[Gloss.4]])</f>
        <v>that comb      be.broken-3SS-PRET    </v>
      </c>
      <c r="J300" s="0" t="s">
        <v>257</v>
      </c>
      <c r="K300" s="3" t="s">
        <v>1714</v>
      </c>
    </row>
    <row r="301" customFormat="false" ht="15" hidden="false" customHeight="false" outlineLevel="0" collapsed="false">
      <c r="A301" s="0" t="n">
        <v>385</v>
      </c>
      <c r="B301" s="0" t="s">
        <v>1715</v>
      </c>
      <c r="C301" s="0" t="s">
        <v>1716</v>
      </c>
      <c r="D301" s="0" t="s">
        <v>1717</v>
      </c>
      <c r="E301" s="0" t="s">
        <v>1718</v>
      </c>
      <c r="H301" s="0" t="str">
        <f aca="false">_xlfn.CONCAT(Atakapa_Parsed_Corpus[[#This Row],[Gloss.1]],"    ",Atakapa_Parsed_Corpus[[#This Row],[Gloss.3]])</f>
        <v>ya-iš     kiwilš-ul           a    </v>
      </c>
      <c r="I301" s="0" t="str">
        <f aca="false">_xlfn.CONCAT(Atakapa_Parsed_Corpus[[#This Row],[Gloss.2]],"    ",Atakapa_Parsed_Corpus[[#This Row],[Gloss.4]])</f>
        <v>that-FOC  be.white.person-3PLS Q    </v>
      </c>
      <c r="J301" s="0" t="s">
        <v>1719</v>
      </c>
      <c r="K301" s="3" t="s">
        <v>1720</v>
      </c>
    </row>
    <row r="302" customFormat="false" ht="15" hidden="false" customHeight="false" outlineLevel="0" collapsed="false">
      <c r="A302" s="0" t="n">
        <v>386</v>
      </c>
      <c r="B302" s="0" t="s">
        <v>1721</v>
      </c>
      <c r="C302" s="0" t="s">
        <v>1722</v>
      </c>
      <c r="D302" s="0" t="s">
        <v>1723</v>
      </c>
      <c r="E302" s="0" t="s">
        <v>1724</v>
      </c>
      <c r="H302" s="0" t="str">
        <f aca="false">_xlfn.CONCAT(Atakapa_Parsed_Corpus[[#This Row],[Gloss.1]],"    ",Atakapa_Parsed_Corpus[[#This Row],[Gloss.3]])</f>
        <v>inaha     nomš    </v>
      </c>
      <c r="I302" s="0" t="str">
        <f aca="false">_xlfn.CONCAT(Atakapa_Parsed_Corpus[[#This Row],[Gloss.2]],"    ",Atakapa_Parsed_Corpus[[#This Row],[Gloss.4]])</f>
        <v>that(far) child    </v>
      </c>
      <c r="J302" s="0" t="s">
        <v>1725</v>
      </c>
      <c r="K302" s="3" t="s">
        <v>1726</v>
      </c>
    </row>
    <row r="303" customFormat="false" ht="15" hidden="false" customHeight="false" outlineLevel="0" collapsed="false">
      <c r="A303" s="0" t="n">
        <v>387</v>
      </c>
      <c r="B303" s="0" t="s">
        <v>1727</v>
      </c>
      <c r="C303" s="0" t="s">
        <v>1728</v>
      </c>
      <c r="D303" s="0" t="s">
        <v>1729</v>
      </c>
      <c r="E303" s="0" t="s">
        <v>1730</v>
      </c>
      <c r="H303" s="0" t="str">
        <f aca="false">_xlfn.CONCAT(Atakapa_Parsed_Corpus[[#This Row],[Gloss.1]],"    ",Atakapa_Parsed_Corpus[[#This Row],[Gloss.3]])</f>
        <v>wi   aŋ        waŋne     tay  cikatip   ta·t-ø-o·    </v>
      </c>
      <c r="I303" s="0" t="str">
        <f aca="false">_xlfn.CONCAT(Atakapa_Parsed_Corpus[[#This Row],[Gloss.2]],"    ",Atakapa_Parsed_Corpus[[#This Row],[Gloss.4]])</f>
        <v>my   house     road      river between  stand-3SS-PHR.TERM    </v>
      </c>
      <c r="J303" s="0" t="s">
        <v>1731</v>
      </c>
      <c r="K303" s="3" t="s">
        <v>1732</v>
      </c>
    </row>
    <row r="304" customFormat="false" ht="15" hidden="false" customHeight="false" outlineLevel="0" collapsed="false">
      <c r="A304" s="0" t="n">
        <v>388</v>
      </c>
      <c r="B304" s="0" t="s">
        <v>1733</v>
      </c>
      <c r="C304" s="0" t="s">
        <v>1734</v>
      </c>
      <c r="D304" s="0" t="s">
        <v>1735</v>
      </c>
      <c r="E304" s="0" t="s">
        <v>1736</v>
      </c>
      <c r="F304" s="0" t="s">
        <v>1737</v>
      </c>
      <c r="G304" s="0" t="s">
        <v>1738</v>
      </c>
      <c r="H304" s="0" t="str">
        <f aca="false">_xlfn.CONCAT(Atakapa_Parsed_Corpus[[#This Row],[Gloss.1]],"    ",Atakapa_Parsed_Corpus[[#This Row],[Gloss.3]])</f>
        <v>inkiliš   tay  oc        nuŋ-ke·t-n̥t-at    tul  tew       oci</v>
      </c>
      <c r="I304" s="0" t="str">
        <f aca="false">_xlfn.CONCAT(Atakapa_Parsed_Corpus[[#This Row],[Gloss.2]],"    ",Atakapa_Parsed_Corpus[[#This Row],[Gloss.4]])</f>
        <v>English   river right.on village-dwell-CONTIN-PRET    lake upstream  over</v>
      </c>
      <c r="J304" s="0" t="s">
        <v>1739</v>
      </c>
      <c r="K304" s="3" t="s">
        <v>1740</v>
      </c>
    </row>
    <row r="305" customFormat="false" ht="15" hidden="false" customHeight="false" outlineLevel="0" collapsed="false">
      <c r="A305" s="0" t="n">
        <v>389</v>
      </c>
      <c r="C305" s="0" t="s">
        <v>1741</v>
      </c>
      <c r="D305" s="0" t="s">
        <v>1742</v>
      </c>
      <c r="E305" s="0" t="s">
        <v>1743</v>
      </c>
      <c r="H305" s="0" t="str">
        <f aca="false">_xlfn.CONCAT(Atakapa_Parsed_Corpus[[#This Row],[Gloss.1]],"    ",Atakapa_Parsed_Corpus[[#This Row],[Gloss.3]])</f>
        <v>yukhiti nuŋ-kin ke·t-n̥t-at   yukhiti   tul  tolpot ino    </v>
      </c>
      <c r="I305" s="0" t="str">
        <f aca="false">_xlfn.CONCAT(Atakapa_Parsed_Corpus[[#This Row],[Gloss.2]],"    ",Atakapa_Parsed_Corpus[[#This Row],[Gloss.4]])</f>
        <v>Indian village-LOC dwell-CONTIN-PRET Indian lake east side    </v>
      </c>
      <c r="J305" s="0" t="s">
        <v>1744</v>
      </c>
      <c r="K305" s="3" t="s">
        <v>1745</v>
      </c>
    </row>
    <row r="306" customFormat="false" ht="15" hidden="false" customHeight="false" outlineLevel="0" collapsed="false">
      <c r="A306" s="0" t="n">
        <v>390</v>
      </c>
      <c r="B306" s="0" t="s">
        <v>1746</v>
      </c>
      <c r="C306" s="0" t="s">
        <v>1747</v>
      </c>
      <c r="D306" s="0" t="s">
        <v>1748</v>
      </c>
      <c r="E306" s="0" t="s">
        <v>1749</v>
      </c>
      <c r="F306" s="0" t="s">
        <v>1750</v>
      </c>
      <c r="G306" s="0" t="s">
        <v>1751</v>
      </c>
      <c r="H306" s="0" t="str">
        <f aca="false">_xlfn.CONCAT(Atakapa_Parsed_Corpus[[#This Row],[Gloss.1]],"    ",Atakapa_Parsed_Corpus[[#This Row],[Gloss.3]])</f>
        <v>iša·thatyincne laklakškop-ik ka wine-ul-at   yukhiti    tul  hiki ino</v>
      </c>
      <c r="I306" s="0" t="str">
        <f aca="false">_xlfn.CONCAT(Atakapa_Parsed_Corpus[[#This Row],[Gloss.2]],"    ",Atakapa_Parsed_Corpus[[#This Row],[Gloss.4]])</f>
        <v>crown     silver-ERG.INSTR make find-3PLS-PRET Indian    lake west side</v>
      </c>
      <c r="J306" s="0" t="s">
        <v>1752</v>
      </c>
      <c r="K306" s="3" t="s">
        <v>1753</v>
      </c>
    </row>
    <row r="307" customFormat="false" ht="15" hidden="false" customHeight="false" outlineLevel="0" collapsed="false">
      <c r="A307" s="0" t="n">
        <v>391</v>
      </c>
      <c r="B307" s="0" t="s">
        <v>1754</v>
      </c>
      <c r="C307" s="0" t="s">
        <v>1755</v>
      </c>
      <c r="D307" s="0" t="s">
        <v>1756</v>
      </c>
      <c r="E307" s="0" t="s">
        <v>1757</v>
      </c>
      <c r="H307" s="0" t="str">
        <f aca="false">_xlfn.CONCAT(Atakapa_Parsed_Corpus[[#This Row],[Gloss.1]],"    ",Atakapa_Parsed_Corpus[[#This Row],[Gloss.3]])</f>
        <v>tul  maynoy         cipš-ø-at    </v>
      </c>
      <c r="I307" s="0" t="str">
        <f aca="false">_xlfn.CONCAT(Atakapa_Parsed_Corpus[[#This Row],[Gloss.2]],"    ",Atakapa_Parsed_Corpus[[#This Row],[Gloss.4]])</f>
        <v>lake other.side.of  move-3SS-PRET    </v>
      </c>
      <c r="J307" s="0" t="s">
        <v>1758</v>
      </c>
      <c r="K307" s="3" t="s">
        <v>1759</v>
      </c>
    </row>
    <row r="308" customFormat="false" ht="15" hidden="false" customHeight="false" outlineLevel="0" collapsed="false">
      <c r="A308" s="0" t="n">
        <v>392</v>
      </c>
      <c r="B308" s="0" t="s">
        <v>1760</v>
      </c>
      <c r="C308" s="0" t="s">
        <v>1761</v>
      </c>
      <c r="D308" s="0" t="s">
        <v>1762</v>
      </c>
      <c r="E308" s="0" t="s">
        <v>1763</v>
      </c>
      <c r="H308" s="0" t="str">
        <f aca="false">_xlfn.CONCAT(Atakapa_Parsed_Corpus[[#This Row],[Gloss.1]],"    ",Atakapa_Parsed_Corpus[[#This Row],[Gloss.3]])</f>
        <v>waŋne o    </v>
      </c>
      <c r="I308" s="0" t="str">
        <f aca="false">_xlfn.CONCAT(Atakapa_Parsed_Corpus[[#This Row],[Gloss.2]],"    ",Atakapa_Parsed_Corpus[[#This Row],[Gloss.4]])</f>
        <v>road      at.the.edge.of    </v>
      </c>
      <c r="J308" s="0" t="s">
        <v>1764</v>
      </c>
      <c r="K308" s="3" t="s">
        <v>1765</v>
      </c>
    </row>
    <row r="309" customFormat="false" ht="15" hidden="false" customHeight="false" outlineLevel="0" collapsed="false">
      <c r="A309" s="0" t="n">
        <v>393</v>
      </c>
      <c r="B309" s="0" t="s">
        <v>1766</v>
      </c>
      <c r="C309" s="0" t="s">
        <v>1767</v>
      </c>
      <c r="D309" s="0" t="s">
        <v>1768</v>
      </c>
      <c r="E309" s="0" t="s">
        <v>1769</v>
      </c>
      <c r="H309" s="0" t="str">
        <f aca="false">_xlfn.CONCAT(Atakapa_Parsed_Corpus[[#This Row],[Gloss.1]],"    ",Atakapa_Parsed_Corpus[[#This Row],[Gloss.3]])</f>
        <v>yil  la·t himatol-ot ta·t-tihi-n̥t-at    </v>
      </c>
      <c r="I309" s="0" t="str">
        <f aca="false">_xlfn.CONCAT(Atakapa_Parsed_Corpus[[#This Row],[Gloss.2]],"    ",Atakapa_Parsed_Corpus[[#This Row],[Gloss.4]])</f>
        <v>day  three four-DIR stand(sg)-CONTIN-PRET    </v>
      </c>
      <c r="J309" s="0" t="s">
        <v>1770</v>
      </c>
      <c r="K309" s="3" t="s">
        <v>1771</v>
      </c>
    </row>
    <row r="310" customFormat="false" ht="15" hidden="false" customHeight="false" outlineLevel="0" collapsed="false">
      <c r="A310" s="0" t="n">
        <v>394</v>
      </c>
      <c r="B310" s="0" t="s">
        <v>1772</v>
      </c>
      <c r="C310" s="0" t="s">
        <v>1773</v>
      </c>
      <c r="D310" s="0" t="s">
        <v>1774</v>
      </c>
      <c r="E310" s="0" t="s">
        <v>1775</v>
      </c>
      <c r="H310" s="0" t="str">
        <f aca="false">_xlfn.CONCAT(Atakapa_Parsed_Corpus[[#This Row],[Gloss.1]],"    ",Atakapa_Parsed_Corpus[[#This Row],[Gloss.3]])</f>
        <v>iš-,yuc,yuc=ya      tanúk-ip  šo-háh    iš-pác-ø-háh-at    </v>
      </c>
      <c r="I310" s="0" t="str">
        <f aca="false">_xlfn.CONCAT(Atakapa_Parsed_Corpus[[#This Row],[Gloss.2]],"    ",Atakapa_Parsed_Corpus[[#This Row],[Gloss.4]])</f>
        <v>1PLO-,REDUP,raise=and one-INESS ever-NEG 1PLO-whip-3SS-NEG-PRET    </v>
      </c>
      <c r="J310" s="0" t="s">
        <v>1776</v>
      </c>
      <c r="K310" s="3" t="s">
        <v>1777</v>
      </c>
    </row>
    <row r="311" customFormat="false" ht="15" hidden="false" customHeight="false" outlineLevel="0" collapsed="false">
      <c r="A311" s="0" t="n">
        <v>395</v>
      </c>
      <c r="B311" s="0" t="s">
        <v>1778</v>
      </c>
      <c r="C311" s="0" t="s">
        <v>1779</v>
      </c>
      <c r="D311" s="0" t="s">
        <v>1780</v>
      </c>
      <c r="E311" s="0" t="s">
        <v>1781</v>
      </c>
      <c r="H311" s="0" t="str">
        <f aca="false">_xlfn.CONCAT(Atakapa_Parsed_Corpus[[#This Row],[Gloss.1]],"    ",Atakapa_Parsed_Corpus[[#This Row],[Gloss.3]])</f>
        <v>cohoc hew-ip   hilš-ø    </v>
      </c>
      <c r="I311" s="0" t="str">
        <f aca="false">_xlfn.CONCAT(Atakapa_Parsed_Corpus[[#This Row],[Gloss.2]],"    ",Atakapa_Parsed_Corpus[[#This Row],[Gloss.4]])</f>
        <v>corn many-INESS sift-3SS    </v>
      </c>
      <c r="J311" s="0" t="s">
        <v>1782</v>
      </c>
      <c r="K311" s="3" t="s">
        <v>1783</v>
      </c>
    </row>
    <row r="312" customFormat="false" ht="15" hidden="false" customHeight="false" outlineLevel="0" collapsed="false">
      <c r="A312" s="0" t="n">
        <v>396</v>
      </c>
      <c r="B312" s="0" t="s">
        <v>1784</v>
      </c>
      <c r="C312" s="0" t="s">
        <v>1785</v>
      </c>
      <c r="D312" s="0" t="s">
        <v>1786</v>
      </c>
      <c r="E312" s="0" t="s">
        <v>1787</v>
      </c>
      <c r="H312" s="0" t="str">
        <f aca="false">_xlfn.CONCAT(Atakapa_Parsed_Corpus[[#This Row],[Gloss.1]],"    ",Atakapa_Parsed_Corpus[[#This Row],[Gloss.3]])</f>
        <v>woš       i·t    </v>
      </c>
      <c r="I312" s="0" t="str">
        <f aca="false">_xlfn.CONCAT(Atakapa_Parsed_Corpus[[#This Row],[Gloss.2]],"    ",Atakapa_Parsed_Corpus[[#This Row],[Gloss.4]])</f>
        <v>hand/finger face    </v>
      </c>
      <c r="J312" s="0" t="s">
        <v>1788</v>
      </c>
      <c r="K312" s="3" t="s">
        <v>1789</v>
      </c>
    </row>
    <row r="313" customFormat="false" ht="15" hidden="false" customHeight="false" outlineLevel="0" collapsed="false">
      <c r="A313" s="0" t="n">
        <v>397</v>
      </c>
      <c r="B313" s="0" t="s">
        <v>1790</v>
      </c>
      <c r="C313" s="0" t="s">
        <v>1791</v>
      </c>
      <c r="D313" s="0" t="s">
        <v>1792</v>
      </c>
      <c r="E313" s="0" t="s">
        <v>1793</v>
      </c>
      <c r="H313" s="0" t="str">
        <f aca="false">_xlfn.CONCAT(Atakapa_Parsed_Corpus[[#This Row],[Gloss.1]],"    ",Atakapa_Parsed_Corpus[[#This Row],[Gloss.3]])</f>
        <v>wi   hipa      hal    </v>
      </c>
      <c r="I313" s="0" t="str">
        <f aca="false">_xlfn.CONCAT(Atakapa_Parsed_Corpus[[#This Row],[Gloss.2]],"    ",Atakapa_Parsed_Corpus[[#This Row],[Gloss.4]])</f>
        <v>my   husband   back    </v>
      </c>
      <c r="J313" s="0" t="s">
        <v>1794</v>
      </c>
      <c r="K313" s="3" t="s">
        <v>1795</v>
      </c>
    </row>
    <row r="314" customFormat="false" ht="15" hidden="false" customHeight="false" outlineLevel="0" collapsed="false">
      <c r="A314" s="0" t="n">
        <v>399</v>
      </c>
      <c r="B314" s="0" t="s">
        <v>1796</v>
      </c>
      <c r="C314" s="0" t="s">
        <v>1797</v>
      </c>
      <c r="D314" s="0" t="s">
        <v>1798</v>
      </c>
      <c r="E314" s="0" t="s">
        <v>1799</v>
      </c>
      <c r="H314" s="0" t="str">
        <f aca="false">_xlfn.CONCAT(Atakapa_Parsed_Corpus[[#This Row],[Gloss.1]],"    ",Atakapa_Parsed_Corpus[[#This Row],[Gloss.3]])</f>
        <v>hatnah-ka n̥-mec    a    hika·t ni·t=ya hal  šuki·ŋ    wi-iš    </v>
      </c>
      <c r="I314" s="0" t="str">
        <f aca="false">_xlfn.CONCAT(Atakapa_Parsed_Corpus[[#This Row],[Gloss.2]],"    ",Atakapa_Parsed_Corpus[[#This Row],[Gloss.4]])</f>
        <v>so.much-ADV 2STATS-be.tall Q foot be.five=and more be.half I-FOC    </v>
      </c>
      <c r="J314" s="0" t="s">
        <v>1800</v>
      </c>
      <c r="K314" s="3" t="s">
        <v>1801</v>
      </c>
    </row>
    <row r="315" customFormat="false" ht="15" hidden="false" customHeight="false" outlineLevel="0" collapsed="false">
      <c r="A315" s="0" t="n">
        <v>400</v>
      </c>
      <c r="B315" s="0" t="s">
        <v>1802</v>
      </c>
      <c r="C315" s="0" t="s">
        <v>1803</v>
      </c>
      <c r="D315" s="0" t="s">
        <v>1804</v>
      </c>
      <c r="E315" s="0" t="s">
        <v>1805</v>
      </c>
      <c r="H315" s="0" t="str">
        <f aca="false">_xlfn.CONCAT(Atakapa_Parsed_Corpus[[#This Row],[Gloss.1]],"    ",Atakapa_Parsed_Corpus[[#This Row],[Gloss.3]])</f>
        <v>ha-ik          hi-miš-ø-at    </v>
      </c>
      <c r="I315" s="0" t="str">
        <f aca="false">_xlfn.CONCAT(Atakapa_Parsed_Corpus[[#This Row],[Gloss.2]],"    ",Atakapa_Parsed_Corpus[[#This Row],[Gloss.4]])</f>
        <v>s/he-ERG.AGNT  1SO-give-3SS-PRET    </v>
      </c>
      <c r="J315" s="0" t="s">
        <v>1806</v>
      </c>
      <c r="K315" s="3" t="s">
        <v>1807</v>
      </c>
    </row>
    <row r="316" customFormat="false" ht="15" hidden="false" customHeight="false" outlineLevel="0" collapsed="false">
      <c r="A316" s="0" t="n">
        <v>401</v>
      </c>
      <c r="B316" s="0" t="s">
        <v>1472</v>
      </c>
      <c r="C316" s="0" t="s">
        <v>1473</v>
      </c>
      <c r="D316" s="0" t="s">
        <v>1474</v>
      </c>
      <c r="E316" s="0" t="s">
        <v>1475</v>
      </c>
      <c r="H316" s="0" t="str">
        <f aca="false">_xlfn.CONCAT(Atakapa_Parsed_Corpus[[#This Row],[Gloss.1]],"    ",Atakapa_Parsed_Corpus[[#This Row],[Gloss.3]])</f>
        <v>wehet     hi-miš-ø-at    </v>
      </c>
      <c r="I316" s="0" t="str">
        <f aca="false">_xlfn.CONCAT(Atakapa_Parsed_Corpus[[#This Row],[Gloss.2]],"    ",Atakapa_Parsed_Corpus[[#This Row],[Gloss.4]])</f>
        <v>I(DIR)    1SO-give-3SS-PRET    </v>
      </c>
      <c r="J316" s="0" t="s">
        <v>1476</v>
      </c>
      <c r="K316" s="3" t="s">
        <v>1808</v>
      </c>
    </row>
    <row r="317" customFormat="false" ht="15" hidden="false" customHeight="false" outlineLevel="0" collapsed="false">
      <c r="A317" s="0" t="n">
        <v>406</v>
      </c>
      <c r="B317" s="0" t="s">
        <v>1809</v>
      </c>
      <c r="C317" s="0" t="s">
        <v>1810</v>
      </c>
      <c r="D317" s="0" t="s">
        <v>1811</v>
      </c>
      <c r="E317" s="0" t="s">
        <v>1812</v>
      </c>
      <c r="H317" s="0" t="str">
        <f aca="false">_xlfn.CONCAT(Atakapa_Parsed_Corpus[[#This Row],[Gloss.1]],"    ",Atakapa_Parsed_Corpus[[#This Row],[Gloss.3]])</f>
        <v>ša-ik               šoktey    haceheš   ø-miš-ul-at    </v>
      </c>
      <c r="I317" s="0" t="str">
        <f aca="false">_xlfn.CONCAT(Atakapa_Parsed_Corpus[[#This Row],[Gloss.2]],"    ",Atakapa_Parsed_Corpus[[#This Row],[Gloss.4]])</f>
        <v>someone-ERG.AGNT    medicine  bad(sg)   3OBJ-give-3PLS-PRET    </v>
      </c>
      <c r="J317" s="0" t="s">
        <v>1813</v>
      </c>
      <c r="K317" s="3" t="s">
        <v>1814</v>
      </c>
    </row>
    <row r="318" customFormat="false" ht="15" hidden="false" customHeight="false" outlineLevel="0" collapsed="false">
      <c r="A318" s="0" t="n">
        <v>407</v>
      </c>
      <c r="B318" s="0" t="s">
        <v>1815</v>
      </c>
      <c r="C318" s="0" t="s">
        <v>1628</v>
      </c>
      <c r="D318" s="0" t="s">
        <v>1629</v>
      </c>
      <c r="E318" s="0" t="s">
        <v>1630</v>
      </c>
      <c r="H318" s="0" t="str">
        <f aca="false">_xlfn.CONCAT(Atakapa_Parsed_Corpus[[#This Row],[Gloss.1]],"    ",Atakapa_Parsed_Corpus[[#This Row],[Gloss.3]])</f>
        <v>wi-iš wi  ite·t hi-yanyan-hahš-at    </v>
      </c>
      <c r="I318" s="0" t="str">
        <f aca="false">_xlfn.CONCAT(Atakapa_Parsed_Corpus[[#This Row],[Gloss.2]],"    ",Atakapa_Parsed_Corpus[[#This Row],[Gloss.4]])</f>
        <v>I-FOC my  father 1SSTATS-fear-NEG-PRET    </v>
      </c>
      <c r="J318" s="0" t="s">
        <v>1631</v>
      </c>
      <c r="K318" s="3" t="s">
        <v>1816</v>
      </c>
    </row>
    <row r="319" customFormat="false" ht="15" hidden="false" customHeight="false" outlineLevel="0" collapsed="false">
      <c r="A319" s="0" t="n">
        <v>408</v>
      </c>
      <c r="B319" s="0" t="s">
        <v>1817</v>
      </c>
      <c r="C319" s="0" t="s">
        <v>1818</v>
      </c>
      <c r="D319" s="0" t="s">
        <v>1819</v>
      </c>
      <c r="E319" s="0" t="s">
        <v>1820</v>
      </c>
      <c r="H319" s="0" t="str">
        <f aca="false">_xlfn.CONCAT(Atakapa_Parsed_Corpus[[#This Row],[Gloss.1]],"    ",Atakapa_Parsed_Corpus[[#This Row],[Gloss.3]])</f>
        <v>tu   hop  ø-ke      kawkaw    taw-ø-inih-kit    </v>
      </c>
      <c r="I319" s="0" t="str">
        <f aca="false">_xlfn.CONCAT(Atakapa_Parsed_Corpus[[#This Row],[Gloss.2]],"    ",Atakapa_Parsed_Corpus[[#This Row],[Gloss.4]])</f>
        <v>boat hole 3SSTATS-have water  STAND-3STATS-come.in-PROG(SG)    </v>
      </c>
      <c r="J319" s="0" t="s">
        <v>1821</v>
      </c>
      <c r="K319" s="3" t="s">
        <v>1822</v>
      </c>
    </row>
    <row r="320" customFormat="false" ht="15" hidden="false" customHeight="false" outlineLevel="0" collapsed="false">
      <c r="A320" s="0" t="n">
        <v>410</v>
      </c>
      <c r="B320" s="0" t="s">
        <v>1823</v>
      </c>
      <c r="C320" s="0" t="s">
        <v>1824</v>
      </c>
      <c r="D320" s="0" t="s">
        <v>1825</v>
      </c>
      <c r="E320" s="0" t="s">
        <v>1826</v>
      </c>
      <c r="H320" s="0" t="str">
        <f aca="false">_xlfn.CONCAT(Atakapa_Parsed_Corpus[[#This Row],[Gloss.1]],"    ",Atakapa_Parsed_Corpus[[#This Row],[Gloss.3]])</f>
        <v>lo   hilay yukhiti  wine-ul-at     kaš-kin    </v>
      </c>
      <c r="I320" s="0" t="str">
        <f aca="false">_xlfn.CONCAT(Atakapa_Parsed_Corpus[[#This Row],[Gloss.2]],"    ",Atakapa_Parsed_Corpus[[#This Row],[Gloss.4]])</f>
        <v>PN   wife Indian    find-3PLS-PRET be.high.tide-WHEN    </v>
      </c>
      <c r="J320" s="0" t="s">
        <v>1827</v>
      </c>
      <c r="K320" s="3" t="s">
        <v>1828</v>
      </c>
    </row>
    <row r="321" customFormat="false" ht="15" hidden="false" customHeight="false" outlineLevel="0" collapsed="false">
      <c r="A321" s="0" t="n">
        <v>411</v>
      </c>
      <c r="B321" s="0" t="s">
        <v>1829</v>
      </c>
      <c r="C321" s="0" t="s">
        <v>1830</v>
      </c>
      <c r="D321" s="0" t="s">
        <v>1831</v>
      </c>
      <c r="E321" s="0" t="s">
        <v>1832</v>
      </c>
      <c r="H321" s="0" t="str">
        <f aca="false">_xlfn.CONCAT(Atakapa_Parsed_Corpus[[#This Row],[Gloss.1]],"    ",Atakapa_Parsed_Corpus[[#This Row],[Gloss.3]])</f>
        <v>kakaw itans    uckawš-ø-at    </v>
      </c>
      <c r="I321" s="0" t="str">
        <f aca="false">_xlfn.CONCAT(Atakapa_Parsed_Corpus[[#This Row],[Gloss.2]],"    ",Atakapa_Parsed_Corpus[[#This Row],[Gloss.4]])</f>
        <v>sun  clouds    cover-3SS-PRET    </v>
      </c>
      <c r="J321" s="0" t="s">
        <v>1833</v>
      </c>
      <c r="K321" s="3" t="s">
        <v>1834</v>
      </c>
    </row>
    <row r="322" customFormat="false" ht="15" hidden="false" customHeight="false" outlineLevel="0" collapsed="false">
      <c r="A322" s="0" t="n">
        <v>412</v>
      </c>
      <c r="B322" s="0" t="s">
        <v>569</v>
      </c>
      <c r="C322" s="0" t="s">
        <v>1835</v>
      </c>
      <c r="D322" s="0" t="s">
        <v>1836</v>
      </c>
      <c r="E322" s="0" t="s">
        <v>1837</v>
      </c>
      <c r="H322" s="0" t="str">
        <f aca="false">_xlfn.CONCAT(Atakapa_Parsed_Corpus[[#This Row],[Gloss.1]],"    ",Atakapa_Parsed_Corpus[[#This Row],[Gloss.3]])</f>
        <v>šok  hew  šak-wanc  ø-uhc-at    </v>
      </c>
      <c r="I322" s="0" t="str">
        <f aca="false">_xlfn.CONCAT(Atakapa_Parsed_Corpus[[#This Row],[Gloss.2]],"    ",Atakapa_Parsed_Corpus[[#This Row],[Gloss.4]])</f>
        <v>Thing many 3PLO-tell 3STATS-be.able-PRET    </v>
      </c>
      <c r="J322" s="0" t="s">
        <v>573</v>
      </c>
      <c r="K322" s="3" t="s">
        <v>1838</v>
      </c>
    </row>
    <row r="323" s="4" customFormat="true" ht="14.9" hidden="false" customHeight="true" outlineLevel="0" collapsed="false">
      <c r="A323" s="4" t="n">
        <v>414</v>
      </c>
      <c r="C323" s="4" t="s">
        <v>1839</v>
      </c>
      <c r="D323" s="4" t="s">
        <v>1840</v>
      </c>
      <c r="E323" s="4" t="s">
        <v>1841</v>
      </c>
      <c r="F323" s="4" t="s">
        <v>1842</v>
      </c>
      <c r="H323" s="4" t="str">
        <f aca="false">_xlfn.CONCAT(Atakapa_Parsed_Corpus[[#This Row],[Gloss.1]],"    ",Atakapa_Parsed_Corpus[[#This Row],[Gloss.3]])</f>
        <v>ne·šilšnán íl tólka šílšn̥tat    broom     new  well sweep-CONT-PRET</v>
      </c>
      <c r="I323" s="4" t="str">
        <f aca="false">_xlfn.CONCAT(Atakapa_Parsed_Corpus[[#This Row],[Gloss.2]],"    ",Atakapa_Parsed_Corpus[[#This Row],[Gloss.4]])</f>
        <v>ne·šilšnan il  tolka šilš-n̥t-at    </v>
      </c>
      <c r="J323" s="4" t="s">
        <v>1843</v>
      </c>
      <c r="K323" s="5" t="s">
        <v>1844</v>
      </c>
    </row>
    <row r="324" customFormat="false" ht="15" hidden="false" customHeight="false" outlineLevel="0" collapsed="false">
      <c r="A324" s="0" t="n">
        <v>415</v>
      </c>
      <c r="B324" s="0" t="s">
        <v>1845</v>
      </c>
      <c r="C324" s="0" t="s">
        <v>1846</v>
      </c>
      <c r="D324" s="0" t="s">
        <v>1847</v>
      </c>
      <c r="E324" s="0" t="s">
        <v>1848</v>
      </c>
      <c r="H324" s="0" t="str">
        <f aca="false">_xlfn.CONCAT(Atakapa_Parsed_Corpus[[#This Row],[Gloss.1]],"    ",Atakapa_Parsed_Corpus[[#This Row],[Gloss.3]])</f>
        <v>ití  tanuk hok-inul-ul-at     ha   aŋ-kin    </v>
      </c>
      <c r="I324" s="0" t="str">
        <f aca="false">_xlfn.CONCAT(Atakapa_Parsed_Corpus[[#This Row],[Gloss.2]],"    ",Atakapa_Parsed_Corpus[[#This Row],[Gloss.4]])</f>
        <v>night one RECIP-gather-3PLS-PRET his house-LOC    </v>
      </c>
      <c r="J324" s="0" t="s">
        <v>1849</v>
      </c>
      <c r="K324" s="3" t="s">
        <v>1850</v>
      </c>
    </row>
    <row r="325" customFormat="false" ht="15" hidden="false" customHeight="false" outlineLevel="0" collapsed="false">
      <c r="A325" s="0" t="n">
        <v>416</v>
      </c>
      <c r="B325" s="0" t="s">
        <v>1851</v>
      </c>
      <c r="C325" s="0" t="s">
        <v>1852</v>
      </c>
      <c r="D325" s="0" t="s">
        <v>1853</v>
      </c>
      <c r="E325" s="0" t="s">
        <v>1854</v>
      </c>
      <c r="H325" s="0" t="str">
        <f aca="false">_xlfn.CONCAT(Atakapa_Parsed_Corpus[[#This Row],[Gloss.1]],"    ",Atakapa_Parsed_Corpus[[#This Row],[Gloss.3]])</f>
        <v>šoka·k-ul-at        ití  maŋ  mo·n    </v>
      </c>
      <c r="I325" s="0" t="str">
        <f aca="false">_xlfn.CONCAT(Atakapa_Parsed_Corpus[[#This Row],[Gloss.2]],"    ",Atakapa_Parsed_Corpus[[#This Row],[Gloss.4]])</f>
        <v>ceremonial.dance-3PLS-PRET night long all    </v>
      </c>
      <c r="J325" s="0" t="s">
        <v>1855</v>
      </c>
      <c r="K325" s="3" t="s">
        <v>1856</v>
      </c>
    </row>
    <row r="326" customFormat="false" ht="15" hidden="false" customHeight="false" outlineLevel="0" collapsed="false">
      <c r="A326" s="0" t="n">
        <v>417</v>
      </c>
      <c r="C326" s="0" t="s">
        <v>1857</v>
      </c>
      <c r="D326" s="0" t="s">
        <v>1858</v>
      </c>
      <c r="E326" s="0" t="s">
        <v>1859</v>
      </c>
      <c r="H326" s="0" t="str">
        <f aca="false">_xlfn.CONCAT(Atakapa_Parsed_Corpus[[#This Row],[Gloss.1]],"    ",Atakapa_Parsed_Corpus[[#This Row],[Gloss.3]])</f>
        <v>ha-iš     nomš tanuk ipuc ø-ke    </v>
      </c>
      <c r="I326" s="0" t="str">
        <f aca="false">_xlfn.CONCAT(Atakapa_Parsed_Corpus[[#This Row],[Gloss.2]],"    ",Atakapa_Parsed_Corpus[[#This Row],[Gloss.4]])</f>
        <v>s/he-FOC  child one only 3STATS-have    </v>
      </c>
      <c r="J326" s="0" t="s">
        <v>1860</v>
      </c>
      <c r="K326" s="3" t="s">
        <v>1861</v>
      </c>
    </row>
    <row r="327" customFormat="false" ht="15" hidden="false" customHeight="false" outlineLevel="0" collapsed="false">
      <c r="A327" s="0" t="n">
        <v>418</v>
      </c>
      <c r="B327" s="0" t="s">
        <v>1862</v>
      </c>
      <c r="C327" s="0" t="s">
        <v>1863</v>
      </c>
      <c r="D327" s="0" t="s">
        <v>1864</v>
      </c>
      <c r="E327" s="0" t="s">
        <v>1865</v>
      </c>
      <c r="H327" s="0" t="str">
        <f aca="false">_xlfn.CONCAT(Atakapa_Parsed_Corpus[[#This Row],[Gloss.1]],"    ",Atakapa_Parsed_Corpus[[#This Row],[Gloss.3]])</f>
        <v>neš  akilikš   tolka law-ø-hahš    </v>
      </c>
      <c r="I327" s="0" t="str">
        <f aca="false">_xlfn.CONCAT(Atakapa_Parsed_Corpus[[#This Row],[Gloss.2]],"    ",Atakapa_Parsed_Corpus[[#This Row],[Gloss.4]])</f>
        <v>wood wet       well burn-3SS-NEG    </v>
      </c>
      <c r="J327" s="0" t="s">
        <v>1866</v>
      </c>
      <c r="K327" s="3" t="s">
        <v>1867</v>
      </c>
    </row>
    <row r="328" customFormat="false" ht="15" hidden="false" customHeight="false" outlineLevel="0" collapsed="false">
      <c r="A328" s="0" t="n">
        <v>419</v>
      </c>
      <c r="B328" s="0" t="s">
        <v>1868</v>
      </c>
      <c r="C328" s="0" t="s">
        <v>1869</v>
      </c>
      <c r="D328" s="0" t="s">
        <v>1870</v>
      </c>
      <c r="E328" s="0" t="s">
        <v>1871</v>
      </c>
      <c r="H328" s="0" t="str">
        <f aca="false">_xlfn.CONCAT(Atakapa_Parsed_Corpus[[#This Row],[Gloss.1]],"    ",Atakapa_Parsed_Corpus[[#This Row],[Gloss.3]])</f>
        <v>neš-pal,pal-aŋ-kin       nuŋ-ke·t-n̥t-at    </v>
      </c>
      <c r="I328" s="0" t="str">
        <f aca="false">_xlfn.CONCAT(Atakapa_Parsed_Corpus[[#This Row],[Gloss.2]],"    ",Atakapa_Parsed_Corpus[[#This Row],[Gloss.4]])</f>
        <v>wood-,REDUP,flat-house-LOC village-dwell-CONTIN-PRET    </v>
      </c>
      <c r="J328" s="0" t="s">
        <v>1872</v>
      </c>
      <c r="K328" s="3" t="s">
        <v>1873</v>
      </c>
    </row>
    <row r="329" customFormat="false" ht="15" hidden="false" customHeight="false" outlineLevel="0" collapsed="false">
      <c r="A329" s="0" t="n">
        <v>420</v>
      </c>
      <c r="B329" s="0" t="s">
        <v>1874</v>
      </c>
      <c r="C329" s="0" t="s">
        <v>1875</v>
      </c>
      <c r="D329" s="0" t="s">
        <v>1876</v>
      </c>
      <c r="E329" s="0" t="s">
        <v>1877</v>
      </c>
      <c r="H329" s="0" t="str">
        <f aca="false">_xlfn.CONCAT(Atakapa_Parsed_Corpus[[#This Row],[Gloss.1]],"    ",Atakapa_Parsed_Corpus[[#This Row],[Gloss.3]])</f>
        <v>iša·k ni·t aŋla·k-kin šak-inawš-ul-at    </v>
      </c>
      <c r="I329" s="0" t="str">
        <f aca="false">_xlfn.CONCAT(Atakapa_Parsed_Corpus[[#This Row],[Gloss.2]],"    ",Atakapa_Parsed_Corpus[[#This Row],[Gloss.4]])</f>
        <v>man  five jail-LOC  3PLO-put.in-3PLS-PRET    </v>
      </c>
      <c r="J329" s="0" t="s">
        <v>1878</v>
      </c>
      <c r="K329" s="3" t="s">
        <v>1879</v>
      </c>
    </row>
    <row r="330" customFormat="false" ht="15" hidden="false" customHeight="false" outlineLevel="0" collapsed="false">
      <c r="A330" s="0" t="n">
        <v>421</v>
      </c>
      <c r="B330" s="0" t="s">
        <v>1478</v>
      </c>
      <c r="C330" s="0" t="s">
        <v>1698</v>
      </c>
      <c r="D330" s="0" t="s">
        <v>1480</v>
      </c>
      <c r="E330" s="0" t="s">
        <v>1481</v>
      </c>
      <c r="H330" s="0" t="str">
        <f aca="false">_xlfn.CONCAT(Atakapa_Parsed_Corpus[[#This Row],[Gloss.1]],"    ",Atakapa_Parsed_Corpus[[#This Row],[Gloss.3]])</f>
        <v>yukit nuŋ-kin  pum       iš-hahš        a    itiyilš    </v>
      </c>
      <c r="I330" s="0" t="str">
        <f aca="false">_xlfn.CONCAT(Atakapa_Parsed_Corpus[[#This Row],[Gloss.2]],"    ",Atakapa_Parsed_Corpus[[#This Row],[Gloss.4]])</f>
        <v>our  village-LOC dance   1PLSTATS-not.have this month    </v>
      </c>
      <c r="J330" s="0" t="s">
        <v>1482</v>
      </c>
      <c r="K330" s="3" t="s">
        <v>1880</v>
      </c>
    </row>
    <row r="331" customFormat="false" ht="15" hidden="false" customHeight="false" outlineLevel="0" collapsed="false">
      <c r="A331" s="0" t="n">
        <v>422</v>
      </c>
      <c r="B331" s="0" t="s">
        <v>1881</v>
      </c>
      <c r="C331" s="0" t="s">
        <v>1882</v>
      </c>
      <c r="D331" s="0" t="s">
        <v>1883</v>
      </c>
      <c r="E331" s="0" t="s">
        <v>1884</v>
      </c>
      <c r="H331" s="0" t="str">
        <f aca="false">_xlfn.CONCAT(Atakapa_Parsed_Corpus[[#This Row],[Gloss.1]],"    ",Atakapa_Parsed_Corpus[[#This Row],[Gloss.3]])</f>
        <v>kicoŋš wi okotkawš-máŋ-kin tehop law-ø-at    </v>
      </c>
      <c r="I331" s="0" t="str">
        <f aca="false">_xlfn.CONCAT(Atakapa_Parsed_Corpus[[#This Row],[Gloss.2]],"    ",Atakapa_Parsed_Corpus[[#This Row],[Gloss.4]])</f>
        <v>fire my   shirt-long-LOC hole burn-3SS-PRET    </v>
      </c>
      <c r="J331" s="0" t="s">
        <v>1885</v>
      </c>
      <c r="K331" s="3" t="s">
        <v>1886</v>
      </c>
    </row>
    <row r="332" customFormat="false" ht="15" hidden="false" customHeight="false" outlineLevel="0" collapsed="false">
      <c r="A332" s="0" t="n">
        <v>423</v>
      </c>
      <c r="B332" s="0" t="s">
        <v>1887</v>
      </c>
      <c r="C332" s="0" t="s">
        <v>1888</v>
      </c>
      <c r="D332" s="0" t="s">
        <v>1889</v>
      </c>
      <c r="E332" s="0" t="s">
        <v>1890</v>
      </c>
      <c r="F332" s="0" t="s">
        <v>1891</v>
      </c>
      <c r="G332" s="0" t="s">
        <v>1892</v>
      </c>
      <c r="H332" s="0" t="str">
        <f aca="false">_xlfn.CONCAT(Atakapa_Parsed_Corpus[[#This Row],[Gloss.1]],"    ",Atakapa_Parsed_Corpus[[#This Row],[Gloss.3]])</f>
        <v>yukhiti   iša·k     waši a    ne·-ip    nuŋ-nul-tihi-n̥st</v>
      </c>
      <c r="I332" s="0" t="str">
        <f aca="false">_xlfn.CONCAT(Atakapa_Parsed_Corpus[[#This Row],[Gloss.2]],"    ",Atakapa_Parsed_Corpus[[#This Row],[Gloss.4]])</f>
        <v>Indian    people    old  this land-INESS    village-live- PST.PROG-CUSTOM</v>
      </c>
      <c r="J332" s="0" t="s">
        <v>1893</v>
      </c>
      <c r="K332" s="3" t="s">
        <v>1894</v>
      </c>
    </row>
    <row r="333" customFormat="false" ht="15" hidden="false" customHeight="false" outlineLevel="0" collapsed="false">
      <c r="A333" s="0" t="n">
        <v>425</v>
      </c>
      <c r="B333" s="0" t="s">
        <v>674</v>
      </c>
      <c r="C333" s="0" t="s">
        <v>675</v>
      </c>
      <c r="D333" s="0" t="s">
        <v>676</v>
      </c>
      <c r="E333" s="0" t="s">
        <v>1895</v>
      </c>
      <c r="H333" s="0" t="str">
        <f aca="false">_xlfn.CONCAT(Atakapa_Parsed_Corpus[[#This Row],[Gloss.1]],"    ",Atakapa_Parsed_Corpus[[#This Row],[Gloss.3]])</f>
        <v>kawkaw    ø-am-n̥        an-ike    n̥tah-n̥t-at    </v>
      </c>
      <c r="I333" s="0" t="str">
        <f aca="false">_xlfn.CONCAT(Atakapa_Parsed_Corpus[[#This Row],[Gloss.2]],"    ",Atakapa_Parsed_Corpus[[#This Row],[Gloss.4]])</f>
        <v>water     3STATS-drink-WHEN ear-EL come.out-CONTIN-PRET    </v>
      </c>
      <c r="J333" s="0" t="s">
        <v>678</v>
      </c>
      <c r="K333" s="3" t="s">
        <v>1896</v>
      </c>
    </row>
    <row r="334" customFormat="false" ht="15" hidden="false" customHeight="false" outlineLevel="0" collapsed="false">
      <c r="A334" s="0" t="n">
        <v>426</v>
      </c>
      <c r="B334" s="0" t="s">
        <v>1494</v>
      </c>
      <c r="C334" s="0" t="s">
        <v>1495</v>
      </c>
      <c r="D334" s="0" t="s">
        <v>1496</v>
      </c>
      <c r="E334" s="0" t="s">
        <v>1497</v>
      </c>
      <c r="H334" s="0" t="str">
        <f aca="false">_xlfn.CONCAT(Atakapa_Parsed_Corpus[[#This Row],[Gloss.1]],"    ",Atakapa_Parsed_Corpus[[#This Row],[Gloss.3]])</f>
        <v>ya   iša·k     akipay-ike ok-ø    </v>
      </c>
      <c r="I334" s="0" t="str">
        <f aca="false">_xlfn.CONCAT(Atakapa_Parsed_Corpus[[#This Row],[Gloss.2]],"    ",Atakapa_Parsed_Corpus[[#This Row],[Gloss.4]])</f>
        <v>that person    south-EL  come-3SS    </v>
      </c>
      <c r="J334" s="0" t="s">
        <v>1498</v>
      </c>
      <c r="K334" s="3" t="s">
        <v>1897</v>
      </c>
    </row>
    <row r="335" customFormat="false" ht="15" hidden="false" customHeight="false" outlineLevel="0" collapsed="false">
      <c r="A335" s="0" t="n">
        <v>428</v>
      </c>
      <c r="B335" s="0" t="s">
        <v>1898</v>
      </c>
      <c r="C335" s="0" t="s">
        <v>1899</v>
      </c>
      <c r="D335" s="0" t="s">
        <v>1900</v>
      </c>
      <c r="E335" s="0" t="s">
        <v>1901</v>
      </c>
      <c r="H335" s="0" t="str">
        <f aca="false">_xlfn.CONCAT(Atakapa_Parsed_Corpus[[#This Row],[Gloss.1]],"    ",Atakapa_Parsed_Corpus[[#This Row],[Gloss.3]])</f>
        <v>yukit ite·t-pel &lt;Cyprien&gt; iša·k ø-tol-at     yukit nomš-ot    </v>
      </c>
      <c r="I335" s="0" t="str">
        <f aca="false">_xlfn.CONCAT(Atakapa_Parsed_Corpus[[#This Row],[Gloss.2]],"    ",Atakapa_Parsed_Corpus[[#This Row],[Gloss.4]])</f>
        <v>our  father-far PN       person 3STATS-good-PRET we child-DIR    </v>
      </c>
      <c r="J335" s="0" t="s">
        <v>1902</v>
      </c>
      <c r="K335" s="3" t="s">
        <v>1903</v>
      </c>
    </row>
    <row r="336" customFormat="false" ht="15" hidden="false" customHeight="false" outlineLevel="0" collapsed="false">
      <c r="A336" s="0" t="n">
        <v>429</v>
      </c>
      <c r="B336" s="0" t="s">
        <v>1904</v>
      </c>
      <c r="C336" s="0" t="s">
        <v>1905</v>
      </c>
      <c r="D336" s="0" t="s">
        <v>1906</v>
      </c>
      <c r="E336" s="0" t="s">
        <v>1907</v>
      </c>
      <c r="H336" s="0" t="str">
        <f aca="false">_xlfn.CONCAT(Atakapa_Parsed_Corpus[[#This Row],[Gloss.1]],"    ",Atakapa_Parsed_Corpus[[#This Row],[Gloss.3]])</f>
        <v>ha-ot     ø-miš-ø-at    </v>
      </c>
      <c r="I336" s="0" t="str">
        <f aca="false">_xlfn.CONCAT(Atakapa_Parsed_Corpus[[#This Row],[Gloss.2]],"    ",Atakapa_Parsed_Corpus[[#This Row],[Gloss.4]])</f>
        <v>he-DIR    3SO-give-3SS-PRET    </v>
      </c>
      <c r="J336" s="0" t="s">
        <v>1908</v>
      </c>
      <c r="K336" s="3" t="s">
        <v>1909</v>
      </c>
    </row>
    <row r="337" customFormat="false" ht="15" hidden="false" customHeight="false" outlineLevel="0" collapsed="false">
      <c r="A337" s="0" t="n">
        <v>430</v>
      </c>
      <c r="B337" s="0" t="s">
        <v>855</v>
      </c>
      <c r="C337" s="0" t="s">
        <v>856</v>
      </c>
      <c r="D337" s="0" t="s">
        <v>857</v>
      </c>
      <c r="E337" s="0" t="s">
        <v>858</v>
      </c>
      <c r="H337" s="0" t="str">
        <f aca="false">_xlfn.CONCAT(Atakapa_Parsed_Corpus[[#This Row],[Gloss.1]],"    ",Atakapa_Parsed_Corpus[[#This Row],[Gloss.3]])</f>
        <v>yukhiti   mo·ni     hok-inul-ul-at      himo·š-ot tiw-ne    </v>
      </c>
      <c r="I337" s="0" t="str">
        <f aca="false">_xlfn.CONCAT(Atakapa_Parsed_Corpus[[#This Row],[Gloss.2]],"    ",Atakapa_Parsed_Corpus[[#This Row],[Gloss.4]])</f>
        <v>Indian    all(human) RECIP-gather-3PLS-PRET burial-DIR go(pl)-GER    </v>
      </c>
      <c r="J337" s="0" t="s">
        <v>859</v>
      </c>
      <c r="K337" s="3" t="s">
        <v>1910</v>
      </c>
    </row>
    <row r="338" customFormat="false" ht="15" hidden="false" customHeight="false" outlineLevel="0" collapsed="false">
      <c r="A338" s="0" t="n">
        <v>431</v>
      </c>
      <c r="B338" s="0" t="s">
        <v>1911</v>
      </c>
      <c r="C338" s="0" t="s">
        <v>1741</v>
      </c>
      <c r="D338" s="0" t="s">
        <v>1742</v>
      </c>
      <c r="E338" s="0" t="s">
        <v>1743</v>
      </c>
      <c r="H338" s="0" t="str">
        <f aca="false">_xlfn.CONCAT(Atakapa_Parsed_Corpus[[#This Row],[Gloss.1]],"    ",Atakapa_Parsed_Corpus[[#This Row],[Gloss.3]])</f>
        <v>yukhiti nuŋ-kin ke·t-n̥t-at   yukhiti   tul  tolpot ino    </v>
      </c>
      <c r="I338" s="0" t="str">
        <f aca="false">_xlfn.CONCAT(Atakapa_Parsed_Corpus[[#This Row],[Gloss.2]],"    ",Atakapa_Parsed_Corpus[[#This Row],[Gloss.4]])</f>
        <v>Indian village-LOC dwell-CONTIN-PRET Indian lake east side    </v>
      </c>
      <c r="J338" s="0" t="s">
        <v>1744</v>
      </c>
      <c r="K338" s="3" t="s">
        <v>1912</v>
      </c>
    </row>
    <row r="339" customFormat="false" ht="15" hidden="false" customHeight="false" outlineLevel="0" collapsed="false">
      <c r="A339" s="0" t="n">
        <v>432</v>
      </c>
      <c r="B339" s="0" t="s">
        <v>1868</v>
      </c>
      <c r="C339" s="0" t="s">
        <v>1913</v>
      </c>
      <c r="D339" s="0" t="s">
        <v>1870</v>
      </c>
      <c r="E339" s="0" t="s">
        <v>1871</v>
      </c>
      <c r="H339" s="0" t="str">
        <f aca="false">_xlfn.CONCAT(Atakapa_Parsed_Corpus[[#This Row],[Gloss.1]],"    ",Atakapa_Parsed_Corpus[[#This Row],[Gloss.3]])</f>
        <v>neš-pal,pal-aŋ-kin       nuŋ-ke·t-n̥t-at    </v>
      </c>
      <c r="I339" s="0" t="str">
        <f aca="false">_xlfn.CONCAT(Atakapa_Parsed_Corpus[[#This Row],[Gloss.2]],"    ",Atakapa_Parsed_Corpus[[#This Row],[Gloss.4]])</f>
        <v>wood-,REDUP,flat-house-LOC village-dwell-CONTIN-PRET    </v>
      </c>
      <c r="J339" s="0" t="s">
        <v>1872</v>
      </c>
      <c r="K339" s="3" t="s">
        <v>1914</v>
      </c>
    </row>
    <row r="340" customFormat="false" ht="15" hidden="false" customHeight="false" outlineLevel="0" collapsed="false">
      <c r="A340" s="0" t="n">
        <v>433</v>
      </c>
      <c r="B340" s="0" t="s">
        <v>1915</v>
      </c>
      <c r="C340" s="0" t="s">
        <v>1916</v>
      </c>
      <c r="D340" s="0" t="s">
        <v>1889</v>
      </c>
      <c r="E340" s="0" t="s">
        <v>1890</v>
      </c>
      <c r="F340" s="0" t="s">
        <v>1891</v>
      </c>
      <c r="G340" s="0" t="s">
        <v>1892</v>
      </c>
      <c r="H340" s="0" t="str">
        <f aca="false">_xlfn.CONCAT(Atakapa_Parsed_Corpus[[#This Row],[Gloss.1]],"    ",Atakapa_Parsed_Corpus[[#This Row],[Gloss.3]])</f>
        <v>yukhiti   iša·k     waši a    ne·-ip    nuŋ-nul-tihi-n̥st</v>
      </c>
      <c r="I340" s="0" t="str">
        <f aca="false">_xlfn.CONCAT(Atakapa_Parsed_Corpus[[#This Row],[Gloss.2]],"    ",Atakapa_Parsed_Corpus[[#This Row],[Gloss.4]])</f>
        <v>Indian    people    old  this land-INESS    village-live- PST.PROG-CUSTOM</v>
      </c>
      <c r="J340" s="0" t="s">
        <v>1893</v>
      </c>
      <c r="K340" s="3" t="s">
        <v>1917</v>
      </c>
    </row>
    <row r="341" customFormat="false" ht="15" hidden="false" customHeight="false" outlineLevel="0" collapsed="false">
      <c r="A341" s="0" t="n">
        <v>435</v>
      </c>
      <c r="B341" s="0" t="s">
        <v>1918</v>
      </c>
      <c r="C341" s="0" t="s">
        <v>1919</v>
      </c>
      <c r="D341" s="0" t="s">
        <v>1920</v>
      </c>
      <c r="H341" s="0" t="str">
        <f aca="false">_xlfn.CONCAT(Atakapa_Parsed_Corpus[[#This Row],[Gloss.1]],"    ",Atakapa_Parsed_Corpus[[#This Row],[Gloss.3]])</f>
        <v>iša·k tu-ke·t-ø    </v>
      </c>
      <c r="I341" s="0" t="str">
        <f aca="false">_xlfn.CONCAT(Atakapa_Parsed_Corpus[[#This Row],[Gloss.2]],"    ",Atakapa_Parsed_Corpus[[#This Row],[Gloss.4]])</f>
        <v>    </v>
      </c>
      <c r="J341" s="0" t="s">
        <v>1921</v>
      </c>
      <c r="K341" s="3" t="s">
        <v>1922</v>
      </c>
    </row>
    <row r="342" customFormat="false" ht="15" hidden="false" customHeight="false" outlineLevel="0" collapsed="false">
      <c r="A342" s="0" t="n">
        <v>436</v>
      </c>
      <c r="B342" s="0" t="s">
        <v>1923</v>
      </c>
      <c r="C342" s="0" t="s">
        <v>1924</v>
      </c>
      <c r="D342" s="0" t="s">
        <v>1925</v>
      </c>
      <c r="E342" s="0" t="s">
        <v>1926</v>
      </c>
      <c r="H342" s="0" t="str">
        <f aca="false">_xlfn.CONCAT(Atakapa_Parsed_Corpus[[#This Row],[Gloss.1]],"    ",Atakapa_Parsed_Corpus[[#This Row],[Gloss.3]])</f>
        <v>ha     aŋ      ø-ne·p    </v>
      </c>
      <c r="I342" s="0" t="str">
        <f aca="false">_xlfn.CONCAT(Atakapa_Parsed_Corpus[[#This Row],[Gloss.2]],"    ",Atakapa_Parsed_Corpus[[#This Row],[Gloss.4]])</f>
        <v>his/her house  3STATS-be.low    </v>
      </c>
      <c r="J342" s="0" t="s">
        <v>1927</v>
      </c>
      <c r="K342" s="3" t="s">
        <v>1928</v>
      </c>
    </row>
    <row r="343" customFormat="false" ht="15" hidden="false" customHeight="false" outlineLevel="0" collapsed="false">
      <c r="A343" s="0" t="n">
        <v>437</v>
      </c>
      <c r="B343" s="0" t="s">
        <v>1929</v>
      </c>
      <c r="C343" s="0" t="s">
        <v>1930</v>
      </c>
      <c r="D343" s="0" t="s">
        <v>1931</v>
      </c>
      <c r="E343" s="0" t="s">
        <v>1932</v>
      </c>
      <c r="H343" s="0" t="str">
        <f aca="false">_xlfn.CONCAT(Atakapa_Parsed_Corpus[[#This Row],[Gloss.1]],"    ",Atakapa_Parsed_Corpus[[#This Row],[Gloss.3]])</f>
        <v>yukit  aŋ-š         ø-ne·p    </v>
      </c>
      <c r="I343" s="0" t="str">
        <f aca="false">_xlfn.CONCAT(Atakapa_Parsed_Corpus[[#This Row],[Gloss.2]],"    ",Atakapa_Parsed_Corpus[[#This Row],[Gloss.4]])</f>
        <v>our    house-FOC    3STATS-be.low    </v>
      </c>
      <c r="J343" s="0" t="s">
        <v>1933</v>
      </c>
      <c r="K343" s="3" t="s">
        <v>1934</v>
      </c>
    </row>
    <row r="344" customFormat="false" ht="15" hidden="false" customHeight="false" outlineLevel="0" collapsed="false">
      <c r="A344" s="0" t="n">
        <v>439</v>
      </c>
      <c r="B344" s="0" t="s">
        <v>1935</v>
      </c>
      <c r="C344" s="0" t="s">
        <v>1936</v>
      </c>
      <c r="D344" s="0" t="s">
        <v>1937</v>
      </c>
      <c r="E344" s="0" t="s">
        <v>1938</v>
      </c>
      <c r="H344" s="0" t="str">
        <f aca="false">_xlfn.CONCAT(Atakapa_Parsed_Corpus[[#This Row],[Gloss.1]],"    ",Atakapa_Parsed_Corpus[[#This Row],[Gloss.3]])</f>
        <v>a    ití-iš    hiwalš-ta    </v>
      </c>
      <c r="I344" s="0" t="str">
        <f aca="false">_xlfn.CONCAT(Atakapa_Parsed_Corpus[[#This Row],[Gloss.2]],"    ",Atakapa_Parsed_Corpus[[#This Row],[Gloss.4]])</f>
        <v>this night-FOC dream-PCPL    </v>
      </c>
      <c r="J344" s="0" t="s">
        <v>1939</v>
      </c>
      <c r="K344" s="3" t="s">
        <v>1940</v>
      </c>
    </row>
    <row r="345" customFormat="false" ht="15" hidden="false" customHeight="false" outlineLevel="0" collapsed="false">
      <c r="A345" s="0" t="n">
        <v>440</v>
      </c>
      <c r="B345" s="0" t="s">
        <v>1941</v>
      </c>
      <c r="C345" s="0" t="s">
        <v>1942</v>
      </c>
      <c r="D345" s="0" t="s">
        <v>1943</v>
      </c>
      <c r="E345" s="0" t="s">
        <v>1944</v>
      </c>
      <c r="H345" s="0" t="str">
        <f aca="false">_xlfn.CONCAT(Atakapa_Parsed_Corpus[[#This Row],[Gloss.1]],"    ",Atakapa_Parsed_Corpus[[#This Row],[Gloss.3]])</f>
        <v>hi-ø-le·mš          hi-ø-le·mš    </v>
      </c>
      <c r="I345" s="0" t="str">
        <f aca="false">_xlfn.CONCAT(Atakapa_Parsed_Corpus[[#This Row],[Gloss.2]],"    ",Atakapa_Parsed_Corpus[[#This Row],[Gloss.4]])</f>
        <v>1SO-3STATS-love     1SSTATS-3SO-love    </v>
      </c>
      <c r="J345" s="0" t="s">
        <v>1945</v>
      </c>
      <c r="K345" s="3" t="s">
        <v>1946</v>
      </c>
    </row>
    <row r="346" customFormat="false" ht="15" hidden="false" customHeight="false" outlineLevel="0" collapsed="false">
      <c r="A346" s="0" t="n">
        <v>442</v>
      </c>
      <c r="B346" s="0" t="s">
        <v>1947</v>
      </c>
      <c r="C346" s="0" t="s">
        <v>1948</v>
      </c>
      <c r="D346" s="0" t="s">
        <v>1949</v>
      </c>
      <c r="E346" s="0" t="s">
        <v>1950</v>
      </c>
      <c r="H346" s="0" t="str">
        <f aca="false">_xlfn.CONCAT(Atakapa_Parsed_Corpus[[#This Row],[Gloss.1]],"    ",Atakapa_Parsed_Corpus[[#This Row],[Gloss.3]])</f>
        <v>hi-hat-ciškiš-hah        wan-ø-at    </v>
      </c>
      <c r="I346" s="0" t="str">
        <f aca="false">_xlfn.CONCAT(Atakapa_Parsed_Corpus[[#This Row],[Gloss.2]],"    ",Atakapa_Parsed_Corpus[[#This Row],[Gloss.4]])</f>
        <v>1SSTATS-REFLEX-be.pleased-NEG say-3SS-PRET    </v>
      </c>
      <c r="J346" s="0" t="s">
        <v>1951</v>
      </c>
      <c r="K346" s="3" t="s">
        <v>1952</v>
      </c>
    </row>
    <row r="347" customFormat="false" ht="15" hidden="false" customHeight="false" outlineLevel="0" collapsed="false">
      <c r="A347" s="0" t="n">
        <v>443</v>
      </c>
      <c r="B347" s="0" t="s">
        <v>928</v>
      </c>
      <c r="C347" s="0" t="s">
        <v>929</v>
      </c>
      <c r="D347" s="0" t="s">
        <v>930</v>
      </c>
      <c r="E347" s="0" t="s">
        <v>931</v>
      </c>
      <c r="H347" s="0" t="str">
        <f aca="false">_xlfn.CONCAT(Atakapa_Parsed_Corpus[[#This Row],[Gloss.1]],"    ",Atakapa_Parsed_Corpus[[#This Row],[Gloss.3]])</f>
        <v>wi·š hi-wiw-hah          šok-n̥ -wan-kit    </v>
      </c>
      <c r="I347" s="0" t="str">
        <f aca="false">_xlfn.CONCAT(Atakapa_Parsed_Corpus[[#This Row],[Gloss.2]],"    ",Atakapa_Parsed_Corpus[[#This Row],[Gloss.4]])</f>
        <v>I-FOC 1SSTAT-believe-NEG STH-2SSTATS-say-PROG    </v>
      </c>
      <c r="J347" s="0" t="s">
        <v>932</v>
      </c>
      <c r="K347" s="3" t="s">
        <v>1953</v>
      </c>
    </row>
    <row r="348" customFormat="false" ht="15" hidden="false" customHeight="false" outlineLevel="0" collapsed="false">
      <c r="A348" s="0" t="n">
        <v>446</v>
      </c>
      <c r="B348" s="0" t="s">
        <v>441</v>
      </c>
      <c r="C348" s="0" t="s">
        <v>442</v>
      </c>
      <c r="D348" s="0" t="s">
        <v>443</v>
      </c>
      <c r="E348" s="0" t="s">
        <v>444</v>
      </c>
      <c r="H348" s="0" t="str">
        <f aca="false">_xlfn.CONCAT(Atakapa_Parsed_Corpus[[#This Row],[Gloss.1]],"    ",Atakapa_Parsed_Corpus[[#This Row],[Gloss.3]])</f>
        <v>paknaw-waŋ-ne  n-hi-oŋš    </v>
      </c>
      <c r="I348" s="0" t="str">
        <f aca="false">_xlfn.CONCAT(Atakapa_Parsed_Corpus[[#This Row],[Gloss.2]],"    ",Atakapa_Parsed_Corpus[[#This Row],[Gloss.4]])</f>
        <v>run-go.about-GER 2SO-1SSTATS-not.to.want    </v>
      </c>
      <c r="J348" s="0" t="s">
        <v>445</v>
      </c>
      <c r="K348" s="3" t="s">
        <v>1954</v>
      </c>
    </row>
    <row r="349" customFormat="false" ht="15" hidden="false" customHeight="false" outlineLevel="0" collapsed="false">
      <c r="A349" s="0" t="n">
        <v>447</v>
      </c>
      <c r="B349" s="0" t="s">
        <v>447</v>
      </c>
      <c r="C349" s="0" t="s">
        <v>448</v>
      </c>
      <c r="D349" s="0" t="s">
        <v>449</v>
      </c>
      <c r="E349" s="0" t="s">
        <v>450</v>
      </c>
      <c r="H349" s="0" t="str">
        <f aca="false">_xlfn.CONCAT(Atakapa_Parsed_Corpus[[#This Row],[Gloss.1]],"    ",Atakapa_Parsed_Corpus[[#This Row],[Gloss.3]])</f>
        <v>ke·t-ne   nam-cel   tiš-hahš-ne    </v>
      </c>
      <c r="I349" s="0" t="str">
        <f aca="false">_xlfn.CONCAT(Atakapa_Parsed_Corpus[[#This Row],[Gloss.2]],"    ",Atakapa_Parsed_Corpus[[#This Row],[Gloss.4]])</f>
        <v>stay-GER  beg-1PLS  go(sg)-NEG-GER    </v>
      </c>
      <c r="J349" s="0" t="s">
        <v>451</v>
      </c>
      <c r="K349" s="3" t="s">
        <v>1955</v>
      </c>
    </row>
    <row r="350" customFormat="false" ht="15" hidden="false" customHeight="false" outlineLevel="0" collapsed="false">
      <c r="A350" s="0" t="n">
        <v>448</v>
      </c>
      <c r="B350" s="0" t="s">
        <v>1956</v>
      </c>
      <c r="C350" s="0" t="s">
        <v>1957</v>
      </c>
      <c r="D350" s="0" t="s">
        <v>1958</v>
      </c>
      <c r="E350" s="0" t="s">
        <v>1959</v>
      </c>
      <c r="H350" s="0" t="str">
        <f aca="false">_xlfn.CONCAT(Atakapa_Parsed_Corpus[[#This Row],[Gloss.1]],"    ",Atakapa_Parsed_Corpus[[#This Row],[Gloss.3]])</f>
        <v>ha   yukhiti   e·ŋ  kona·š    </v>
      </c>
      <c r="I350" s="0" t="str">
        <f aca="false">_xlfn.CONCAT(Atakapa_Parsed_Corpus[[#This Row],[Gloss.2]],"    ",Atakapa_Parsed_Corpus[[#This Row],[Gloss.4]])</f>
        <v>his  Indian    name PN    </v>
      </c>
      <c r="J350" s="0" t="s">
        <v>1960</v>
      </c>
      <c r="K350" s="3" t="s">
        <v>1961</v>
      </c>
    </row>
    <row r="351" customFormat="false" ht="15" hidden="false" customHeight="false" outlineLevel="0" collapsed="false">
      <c r="A351" s="0" t="n">
        <v>451</v>
      </c>
      <c r="B351" s="0" t="s">
        <v>1962</v>
      </c>
      <c r="C351" s="0" t="s">
        <v>1963</v>
      </c>
      <c r="D351" s="0" t="s">
        <v>1964</v>
      </c>
      <c r="E351" s="0" t="s">
        <v>1965</v>
      </c>
      <c r="H351" s="0" t="str">
        <f aca="false">_xlfn.CONCAT(Atakapa_Parsed_Corpus[[#This Row],[Gloss.1]],"    ",Atakapa_Parsed_Corpus[[#This Row],[Gloss.3]])</f>
        <v>šikom=n̥  canuk     ø-hahš-at    </v>
      </c>
      <c r="I351" s="0" t="str">
        <f aca="false">_xlfn.CONCAT(Atakapa_Parsed_Corpus[[#This Row],[Gloss.2]],"    ",Atakapa_Parsed_Corpus[[#This Row],[Gloss.4]])</f>
        <v>cow=and   horse     3STATS-not.have-PRET    </v>
      </c>
      <c r="J351" s="0" t="s">
        <v>1966</v>
      </c>
      <c r="K351" s="3" t="s">
        <v>1967</v>
      </c>
    </row>
    <row r="352" customFormat="false" ht="15" hidden="false" customHeight="false" outlineLevel="0" collapsed="false">
      <c r="A352" s="0" t="n">
        <v>452</v>
      </c>
      <c r="B352" s="0" t="s">
        <v>1968</v>
      </c>
      <c r="C352" s="0" t="s">
        <v>1969</v>
      </c>
      <c r="D352" s="0" t="s">
        <v>1970</v>
      </c>
      <c r="E352" s="0" t="s">
        <v>1971</v>
      </c>
      <c r="H352" s="0" t="str">
        <f aca="false">_xlfn.CONCAT(Atakapa_Parsed_Corpus[[#This Row],[Gloss.1]],"    ",Atakapa_Parsed_Corpus[[#This Row],[Gloss.3]])</f>
        <v>iškišíl   é·ŋ  &lt;Louison&gt; yukhíti   é·ŋ  yoyót=n̥  kišyúc    </v>
      </c>
      <c r="I352" s="0" t="str">
        <f aca="false">_xlfn.CONCAT(Atakapa_Parsed_Corpus[[#This Row],[Gloss.2]],"    ",Atakapa_Parsed_Corpus[[#This Row],[Gloss.4]])</f>
        <v>daughter  name PN        Indian    name PN=and    PN    </v>
      </c>
      <c r="J352" s="0" t="s">
        <v>1972</v>
      </c>
      <c r="K352" s="3" t="s">
        <v>1973</v>
      </c>
    </row>
    <row r="353" customFormat="false" ht="15" hidden="false" customHeight="false" outlineLevel="0" collapsed="false">
      <c r="A353" s="0" t="n">
        <v>453</v>
      </c>
      <c r="B353" s="0" t="s">
        <v>1974</v>
      </c>
      <c r="C353" s="0" t="s">
        <v>1975</v>
      </c>
      <c r="D353" s="0" t="s">
        <v>1976</v>
      </c>
      <c r="E353" s="0" t="s">
        <v>1977</v>
      </c>
      <c r="H353" s="0" t="str">
        <f aca="false">_xlfn.CONCAT(Atakapa_Parsed_Corpus[[#This Row],[Gloss.1]],"    ",Atakapa_Parsed_Corpus[[#This Row],[Gloss.3]])</f>
        <v>ne·=n̥    itanš=n̥       iša·k=n̥  mo·ni    </v>
      </c>
      <c r="I353" s="0" t="str">
        <f aca="false">_xlfn.CONCAT(Atakapa_Parsed_Corpus[[#This Row],[Gloss.2]],"    ",Atakapa_Parsed_Corpus[[#This Row],[Gloss.4]])</f>
        <v>earth=and sky/cloud=and  person=and all(animate)    </v>
      </c>
      <c r="J353" s="0" t="s">
        <v>1978</v>
      </c>
      <c r="K353" s="3" t="s">
        <v>1979</v>
      </c>
    </row>
    <row r="354" customFormat="false" ht="15" hidden="false" customHeight="false" outlineLevel="0" collapsed="false">
      <c r="A354" s="0" t="n">
        <v>454</v>
      </c>
      <c r="B354" s="0" t="s">
        <v>1980</v>
      </c>
      <c r="C354" s="0" t="s">
        <v>1981</v>
      </c>
      <c r="D354" s="0" t="s">
        <v>1982</v>
      </c>
      <c r="E354" s="0" t="s">
        <v>1983</v>
      </c>
      <c r="H354" s="0" t="str">
        <f aca="false">_xlfn.CONCAT(Atakapa_Parsed_Corpus[[#This Row],[Gloss.1]],"    ",Atakapa_Parsed_Corpus[[#This Row],[Gloss.3]])</f>
        <v>kaw       ok-kin    tokš=ya        himo·š-ul-at    </v>
      </c>
      <c r="I354" s="0" t="str">
        <f aca="false">_xlfn.CONCAT(Atakapa_Parsed_Corpus[[#This Row],[Gloss.2]],"    ",Atakapa_Parsed_Corpus[[#This Row],[Gloss.4]])</f>
        <v>dead.person cloth-LOC wrap=and     bury-3PLS-PRET    </v>
      </c>
      <c r="J354" s="0" t="s">
        <v>1984</v>
      </c>
      <c r="K354" s="3" t="s">
        <v>1985</v>
      </c>
    </row>
    <row r="355" customFormat="false" ht="15" hidden="false" customHeight="false" outlineLevel="0" collapsed="false">
      <c r="A355" s="0" t="n">
        <v>455</v>
      </c>
      <c r="B355" s="0" t="s">
        <v>1986</v>
      </c>
      <c r="C355" s="0" t="s">
        <v>1987</v>
      </c>
      <c r="D355" s="0" t="s">
        <v>1988</v>
      </c>
      <c r="E355" s="0" t="s">
        <v>1989</v>
      </c>
      <c r="F355" s="0" t="s">
        <v>1990</v>
      </c>
      <c r="G355" s="0" t="s">
        <v>1991</v>
      </c>
      <c r="H355" s="0" t="str">
        <f aca="false">_xlfn.CONCAT(Atakapa_Parsed_Corpus[[#This Row],[Gloss.1]],"    ",Atakapa_Parsed_Corpus[[#This Row],[Gloss.3]])</f>
        <v>himo·š-mak maŋ ka=ya     hop  naw-ul-at      šo    hitah-ne</v>
      </c>
      <c r="I355" s="0" t="str">
        <f aca="false">_xlfn.CONCAT(Atakapa_Parsed_Corpus[[#This Row],[Gloss.2]],"    ",Atakapa_Parsed_Corpus[[#This Row],[Gloss.4]])</f>
        <v>grave-mound long make=and hole leave-3PLS-PRET soul    come-out-GER</v>
      </c>
      <c r="J355" s="0" t="s">
        <v>1992</v>
      </c>
      <c r="K355" s="3" t="s">
        <v>1993</v>
      </c>
    </row>
    <row r="356" customFormat="false" ht="15" hidden="false" customHeight="false" outlineLevel="0" collapsed="false">
      <c r="A356" s="0" t="n">
        <v>457</v>
      </c>
      <c r="B356" s="0" t="s">
        <v>1994</v>
      </c>
      <c r="C356" s="0" t="s">
        <v>1995</v>
      </c>
      <c r="D356" s="0" t="s">
        <v>1996</v>
      </c>
      <c r="E356" s="0" t="s">
        <v>1997</v>
      </c>
      <c r="H356" s="0" t="str">
        <f aca="false">_xlfn.CONCAT(Atakapa_Parsed_Corpus[[#This Row],[Gloss.1]],"    ",Atakapa_Parsed_Corpus[[#This Row],[Gloss.3]])</f>
        <v>wi   kica·k    am-waŋ=ya      hi-makaw-at    </v>
      </c>
      <c r="I356" s="0" t="str">
        <f aca="false">_xlfn.CONCAT(Atakapa_Parsed_Corpus[[#This Row],[Gloss.2]],"    ",Atakapa_Parsed_Corpus[[#This Row],[Gloss.4]])</f>
        <v>I    whiskey   drink-go.about=and 1SSTATS-fall-PRET    </v>
      </c>
      <c r="J356" s="0" t="s">
        <v>1998</v>
      </c>
      <c r="K356" s="3" t="s">
        <v>1999</v>
      </c>
    </row>
    <row r="357" customFormat="false" ht="15" hidden="false" customHeight="false" outlineLevel="0" collapsed="false">
      <c r="A357" s="0" t="n">
        <v>458</v>
      </c>
      <c r="B357" s="0" t="s">
        <v>2000</v>
      </c>
      <c r="C357" s="0" t="s">
        <v>2001</v>
      </c>
      <c r="D357" s="0" t="s">
        <v>2002</v>
      </c>
      <c r="E357" s="0" t="s">
        <v>2003</v>
      </c>
      <c r="F357" s="0" t="s">
        <v>2004</v>
      </c>
      <c r="G357" s="0" t="s">
        <v>2005</v>
      </c>
      <c r="H357" s="0" t="str">
        <f aca="false">_xlfn.CONCAT(Atakapa_Parsed_Corpus[[#This Row],[Gloss.1]],"    ",Atakapa_Parsed_Corpus[[#This Row],[Gloss.3]])</f>
        <v>hišlawš   ta·t-ik        ø-kaw-at=ya         ha   nuŋ-kin    himo·š-ul-at</v>
      </c>
      <c r="I357" s="0" t="str">
        <f aca="false">_xlfn.CONCAT(Atakapa_Parsed_Corpus[[#This Row],[Gloss.2]],"    ",Atakapa_Parsed_Corpus[[#This Row],[Gloss.4]])</f>
        <v>fever     yellow-ERG.INSTR 3SSTATS-die-PRET=and her village-LOC    bury-3PLS-PRET</v>
      </c>
      <c r="J357" s="0" t="s">
        <v>2006</v>
      </c>
      <c r="K357" s="3" t="s">
        <v>2007</v>
      </c>
    </row>
    <row r="358" customFormat="false" ht="15" hidden="false" customHeight="false" outlineLevel="0" collapsed="false">
      <c r="A358" s="0" t="n">
        <v>459</v>
      </c>
      <c r="B358" s="0" t="s">
        <v>2008</v>
      </c>
      <c r="C358" s="0" t="s">
        <v>2009</v>
      </c>
      <c r="D358" s="0" t="s">
        <v>2010</v>
      </c>
      <c r="E358" s="0" t="s">
        <v>2011</v>
      </c>
      <c r="H358" s="0" t="str">
        <f aca="false">_xlfn.CONCAT(Atakapa_Parsed_Corpus[[#This Row],[Gloss.1]],"    ",Atakapa_Parsed_Corpus[[#This Row],[Gloss.3]])</f>
        <v>kiš       ø-mok-at=ya         ø-yo·l-at    </v>
      </c>
      <c r="I358" s="0" t="str">
        <f aca="false">_xlfn.CONCAT(Atakapa_Parsed_Corpus[[#This Row],[Gloss.2]],"    ",Atakapa_Parsed_Corpus[[#This Row],[Gloss.4]])</f>
        <v>woman     3STATS-be.short-PRET=and 3STATS-be.ill.tempered-PRET    </v>
      </c>
      <c r="J358" s="0" t="s">
        <v>2012</v>
      </c>
      <c r="K358" s="3" t="s">
        <v>2013</v>
      </c>
    </row>
    <row r="359" customFormat="false" ht="15" hidden="false" customHeight="false" outlineLevel="0" collapsed="false">
      <c r="A359" s="0" t="n">
        <v>461</v>
      </c>
      <c r="B359" s="0" t="s">
        <v>2014</v>
      </c>
      <c r="C359" s="0" t="s">
        <v>2015</v>
      </c>
      <c r="D359" s="0" t="s">
        <v>2016</v>
      </c>
      <c r="E359" s="0" t="s">
        <v>2017</v>
      </c>
      <c r="H359" s="0" t="str">
        <f aca="false">_xlfn.CONCAT(Atakapa_Parsed_Corpus[[#This Row],[Gloss.1]],"    ",Atakapa_Parsed_Corpus[[#This Row],[Gloss.3]])</f>
        <v>ok   n̥-uhc         a    n̥tan-at  n̥-hah    </v>
      </c>
      <c r="I359" s="0" t="str">
        <f aca="false">_xlfn.CONCAT(Atakapa_Parsed_Corpus[[#This Row],[Gloss.2]],"    ",Atakapa_Parsed_Corpus[[#This Row],[Gloss.4]])</f>
        <v>come 2SSTATS-be.able Q   be.or-PRET 2SSTATS-be.not    </v>
      </c>
      <c r="J359" s="0" t="s">
        <v>2018</v>
      </c>
      <c r="K359" s="3" t="s">
        <v>2019</v>
      </c>
    </row>
    <row r="360" customFormat="false" ht="15" hidden="false" customHeight="false" outlineLevel="0" collapsed="false">
      <c r="A360" s="0" t="n">
        <v>462</v>
      </c>
      <c r="B360" s="0" t="s">
        <v>2020</v>
      </c>
      <c r="C360" s="0" t="s">
        <v>2021</v>
      </c>
      <c r="D360" s="0" t="s">
        <v>2022</v>
      </c>
      <c r="E360" s="0" t="s">
        <v>2023</v>
      </c>
      <c r="H360" s="0" t="str">
        <f aca="false">_xlfn.CONCAT(Atakapa_Parsed_Corpus[[#This Row],[Gloss.1]],"    ",Atakapa_Parsed_Corpus[[#This Row],[Gloss.3]])</f>
        <v>ø-milš-kšo     yil  maŋ       ø-šok=ka-kit    </v>
      </c>
      <c r="I360" s="0" t="str">
        <f aca="false">_xlfn.CONCAT(Atakapa_Parsed_Corpus[[#This Row],[Gloss.2]],"    ",Atakapa_Parsed_Corpus[[#This Row],[Gloss.4]])</f>
        <v>3STATS-be.blind-BUT day be.long 3STATS-thing=do-PROG(SG)    </v>
      </c>
      <c r="J360" s="0" t="s">
        <v>2024</v>
      </c>
      <c r="K360" s="3" t="s">
        <v>2025</v>
      </c>
    </row>
    <row r="361" customFormat="false" ht="15" hidden="false" customHeight="false" outlineLevel="0" collapsed="false">
      <c r="A361" s="0" t="n">
        <v>463</v>
      </c>
      <c r="B361" s="0" t="s">
        <v>2026</v>
      </c>
      <c r="C361" s="0" t="s">
        <v>2027</v>
      </c>
      <c r="D361" s="0" t="s">
        <v>2028</v>
      </c>
      <c r="E361" s="0" t="s">
        <v>2029</v>
      </c>
      <c r="H361" s="0" t="str">
        <f aca="false">_xlfn.CONCAT(Atakapa_Parsed_Corpus[[#This Row],[Gloss.1]],"    ",Atakapa_Parsed_Corpus[[#This Row],[Gloss.3]])</f>
        <v>ø-he-kšo                      ø-tol-hah    </v>
      </c>
      <c r="I361" s="0" t="str">
        <f aca="false">_xlfn.CONCAT(Atakapa_Parsed_Corpus[[#This Row],[Gloss.2]],"    ",Atakapa_Parsed_Corpus[[#This Row],[Gloss.4]])</f>
        <v>3STATS-be.strong.tasting-BUT 3STATS-be.good-NEG    </v>
      </c>
      <c r="J361" s="0" t="s">
        <v>2030</v>
      </c>
      <c r="K361" s="3" t="s">
        <v>2031</v>
      </c>
    </row>
    <row r="362" customFormat="false" ht="15" hidden="false" customHeight="false" outlineLevel="0" collapsed="false">
      <c r="A362" s="0" t="n">
        <v>464</v>
      </c>
      <c r="B362" s="0" t="s">
        <v>2032</v>
      </c>
      <c r="C362" s="0" t="s">
        <v>2033</v>
      </c>
      <c r="D362" s="0" t="s">
        <v>2034</v>
      </c>
      <c r="E362" s="0" t="s">
        <v>2035</v>
      </c>
      <c r="H362" s="0" t="str">
        <f aca="false">_xlfn.CONCAT(Atakapa_Parsed_Corpus[[#This Row],[Gloss.1]],"    ",Atakapa_Parsed_Corpus[[#This Row],[Gloss.3]])</f>
        <v>hi-šoke·š-kšo  yil-kit        mo·n tiš-o    </v>
      </c>
      <c r="I362" s="0" t="str">
        <f aca="false">_xlfn.CONCAT(Atakapa_Parsed_Corpus[[#This Row],[Gloss.2]],"    ",Atakapa_Parsed_Corpus[[#This Row],[Gloss.4]])</f>
        <v>1SSTATS-be.sick-BUT be.day-PROG(SG) all go-1SS    </v>
      </c>
      <c r="J362" s="0" t="s">
        <v>2036</v>
      </c>
      <c r="K362" s="3" t="s">
        <v>2037</v>
      </c>
    </row>
    <row r="363" customFormat="false" ht="15" hidden="false" customHeight="false" outlineLevel="0" collapsed="false">
      <c r="A363" s="0" t="n">
        <v>465</v>
      </c>
      <c r="B363" s="0" t="s">
        <v>2038</v>
      </c>
      <c r="C363" s="0" t="s">
        <v>2039</v>
      </c>
      <c r="D363" s="0" t="s">
        <v>2040</v>
      </c>
      <c r="E363" s="0" t="s">
        <v>2041</v>
      </c>
      <c r="H363" s="0" t="str">
        <f aca="false">_xlfn.CONCAT(Atakapa_Parsed_Corpus[[#This Row],[Gloss.1]],"    ",Atakapa_Parsed_Corpus[[#This Row],[Gloss.3]])</f>
        <v>iša·k     hi-yanyan-kšo  tiwé·-tiš-o    </v>
      </c>
      <c r="I363" s="0" t="str">
        <f aca="false">_xlfn.CONCAT(Atakapa_Parsed_Corpus[[#This Row],[Gloss.2]],"    ",Atakapa_Parsed_Corpus[[#This Row],[Gloss.4]])</f>
        <v>person    1SSTATS-fear-BUT be.with-go-1SS    </v>
      </c>
      <c r="J363" s="0" t="s">
        <v>2042</v>
      </c>
      <c r="K363" s="3" t="s">
        <v>2043</v>
      </c>
    </row>
    <row r="364" customFormat="false" ht="15" hidden="false" customHeight="false" outlineLevel="0" collapsed="false">
      <c r="A364" s="0" t="n">
        <v>466</v>
      </c>
      <c r="B364" s="0" t="s">
        <v>2044</v>
      </c>
      <c r="C364" s="0" t="s">
        <v>2045</v>
      </c>
      <c r="D364" s="0" t="s">
        <v>2046</v>
      </c>
      <c r="E364" s="0" t="s">
        <v>2047</v>
      </c>
      <c r="H364" s="0" t="str">
        <f aca="false">_xlfn.CONCAT(Atakapa_Parsed_Corpus[[#This Row],[Gloss.1]],"    ",Atakapa_Parsed_Corpus[[#This Row],[Gloss.3]])</f>
        <v>wi   oke·t     maŋ       ilaŋ-waŋ-n̥t-at    </v>
      </c>
      <c r="I364" s="0" t="str">
        <f aca="false">_xlfn.CONCAT(Atakapa_Parsed_Corpus[[#This Row],[Gloss.2]],"    ",Atakapa_Parsed_Corpus[[#This Row],[Gloss.4]])</f>
        <v>my   mother    long.time mourn-go.about CONTIN-PRET    </v>
      </c>
      <c r="J364" s="0" t="s">
        <v>2048</v>
      </c>
      <c r="K364" s="3" t="s">
        <v>2049</v>
      </c>
    </row>
    <row r="365" customFormat="false" ht="15" hidden="false" customHeight="false" outlineLevel="0" collapsed="false">
      <c r="A365" s="0" t="n">
        <v>467</v>
      </c>
      <c r="C365" s="0" t="s">
        <v>2050</v>
      </c>
      <c r="D365" s="0" t="s">
        <v>2051</v>
      </c>
      <c r="E365" s="0" t="s">
        <v>2052</v>
      </c>
      <c r="H365" s="0" t="str">
        <f aca="false">_xlfn.CONCAT(Atakapa_Parsed_Corpus[[#This Row],[Gloss.1]],"    ",Atakapa_Parsed_Corpus[[#This Row],[Gloss.3]])</f>
        <v>ha   šokhokinacne mo·n hok-tiwe·-himo·š-ul-at    </v>
      </c>
      <c r="I365" s="0" t="str">
        <f aca="false">_xlfn.CONCAT(Atakapa_Parsed_Corpus[[#This Row],[Gloss.2]],"    ",Atakapa_Parsed_Corpus[[#This Row],[Gloss.4]])</f>
        <v>his  weapons   all  RECIP-be.together-bury-3PLS-PRET    </v>
      </c>
      <c r="J365" s="0" t="s">
        <v>2053</v>
      </c>
      <c r="K365" s="3" t="s">
        <v>2054</v>
      </c>
    </row>
    <row r="366" customFormat="false" ht="15" hidden="false" customHeight="false" outlineLevel="0" collapsed="false">
      <c r="A366" s="0" t="n">
        <v>468</v>
      </c>
      <c r="B366" s="0" t="s">
        <v>2055</v>
      </c>
      <c r="C366" s="0" t="s">
        <v>2056</v>
      </c>
      <c r="D366" s="0" t="s">
        <v>2057</v>
      </c>
      <c r="E366" s="0" t="s">
        <v>2058</v>
      </c>
      <c r="F366" s="0" t="s">
        <v>2059</v>
      </c>
      <c r="G366" s="0" t="s">
        <v>2060</v>
      </c>
      <c r="H366" s="0" t="str">
        <f aca="false">_xlfn.CONCAT(Atakapa_Parsed_Corpus[[#This Row],[Gloss.1]],"    ",Atakapa_Parsed_Corpus[[#This Row],[Gloss.3]])</f>
        <v>kay       aŋkat payš naw-ul-at     ha   aŋ-kin    ø-kaw          atkaki    tik  himo·š-ti-n    ne·tam-kin=ya</v>
      </c>
      <c r="I366" s="0" t="str">
        <f aca="false">_xlfn.CONCAT(Atakapa_Parsed_Corpus[[#This Row],[Gloss.2]],"    ",Atakapa_Parsed_Corpus[[#This Row],[Gloss.4]])</f>
        <v>and.then  door open leave-3PL-PRET his  house-LOC    3STATS-die(sg) since     until bury-PSTPROG-WHEN grave-LOC=and</v>
      </c>
      <c r="J366" s="0" t="s">
        <v>2061</v>
      </c>
      <c r="K366" s="3" t="s">
        <v>2062</v>
      </c>
    </row>
    <row r="367" customFormat="false" ht="15" hidden="false" customHeight="false" outlineLevel="0" collapsed="false">
      <c r="A367" s="0" t="n">
        <v>469</v>
      </c>
      <c r="B367" s="0" t="s">
        <v>2063</v>
      </c>
      <c r="C367" s="0" t="s">
        <v>2064</v>
      </c>
      <c r="D367" s="0" t="s">
        <v>2065</v>
      </c>
      <c r="E367" s="0" t="s">
        <v>2066</v>
      </c>
      <c r="H367" s="0" t="str">
        <f aca="false">_xlfn.CONCAT(Atakapa_Parsed_Corpus[[#This Row],[Gloss.1]],"    ",Atakapa_Parsed_Corpus[[#This Row],[Gloss.3]])</f>
        <v>ití  maŋ       hi-hiwalš      tik  yil-at    </v>
      </c>
      <c r="I367" s="0" t="str">
        <f aca="false">_xlfn.CONCAT(Atakapa_Parsed_Corpus[[#This Row],[Gloss.2]],"    ",Atakapa_Parsed_Corpus[[#This Row],[Gloss.4]])</f>
        <v>night be.long  1SSTATS-dream  until be.day-PRET    </v>
      </c>
      <c r="J367" s="0" t="s">
        <v>2067</v>
      </c>
      <c r="K367" s="3" t="s">
        <v>2068</v>
      </c>
    </row>
    <row r="368" customFormat="false" ht="15" hidden="false" customHeight="false" outlineLevel="0" collapsed="false">
      <c r="A368" s="0" t="n">
        <v>470</v>
      </c>
      <c r="C368" s="0" t="s">
        <v>2069</v>
      </c>
      <c r="D368" s="0" t="s">
        <v>2070</v>
      </c>
      <c r="E368" s="0" t="s">
        <v>2071</v>
      </c>
      <c r="H368" s="0" t="str">
        <f aca="false">_xlfn.CONCAT(Atakapa_Parsed_Corpus[[#This Row],[Gloss.1]],"    ",Atakapa_Parsed_Corpus[[#This Row],[Gloss.3]])</f>
        <v>kica·k    ø-kaw=ya       waŋ-šak-pam-koh=ya       šak-hewš    </v>
      </c>
      <c r="I368" s="0" t="str">
        <f aca="false">_xlfn.CONCAT(Atakapa_Parsed_Corpus[[#This Row],[Gloss.2]],"    ",Atakapa_Parsed_Corpus[[#This Row],[Gloss.4]])</f>
        <v>whiskey   3STATS-die(sg)=and go.about-3PLOBJ-beat-DESID=and 3PLOBJ-curse    </v>
      </c>
      <c r="J368" s="0" t="s">
        <v>2072</v>
      </c>
      <c r="K368" s="3" t="s">
        <v>2073</v>
      </c>
    </row>
    <row r="369" customFormat="false" ht="15" hidden="false" customHeight="false" outlineLevel="0" collapsed="false">
      <c r="A369" s="0" t="n">
        <v>471</v>
      </c>
      <c r="B369" s="0" t="s">
        <v>1980</v>
      </c>
      <c r="C369" s="0" t="s">
        <v>1981</v>
      </c>
      <c r="D369" s="0" t="s">
        <v>1982</v>
      </c>
      <c r="E369" s="0" t="s">
        <v>1983</v>
      </c>
      <c r="H369" s="0" t="str">
        <f aca="false">_xlfn.CONCAT(Atakapa_Parsed_Corpus[[#This Row],[Gloss.1]],"    ",Atakapa_Parsed_Corpus[[#This Row],[Gloss.3]])</f>
        <v>kaw       ok-kin    tokš=ya        himo·š-ul-at    </v>
      </c>
      <c r="I369" s="0" t="str">
        <f aca="false">_xlfn.CONCAT(Atakapa_Parsed_Corpus[[#This Row],[Gloss.2]],"    ",Atakapa_Parsed_Corpus[[#This Row],[Gloss.4]])</f>
        <v>dead.person cloth-LOC wrap=and     bury-3PLS-PRET    </v>
      </c>
      <c r="J369" s="0" t="s">
        <v>1984</v>
      </c>
      <c r="K369" s="3" t="s">
        <v>2074</v>
      </c>
    </row>
    <row r="370" customFormat="false" ht="15" hidden="false" customHeight="false" outlineLevel="0" collapsed="false">
      <c r="A370" s="0" t="n">
        <v>472</v>
      </c>
      <c r="B370" s="0" t="s">
        <v>2075</v>
      </c>
      <c r="C370" s="0" t="s">
        <v>2076</v>
      </c>
      <c r="D370" s="0" t="s">
        <v>2077</v>
      </c>
      <c r="E370" s="0" t="s">
        <v>2078</v>
      </c>
      <c r="F370" s="0" t="s">
        <v>2079</v>
      </c>
      <c r="G370" s="0" t="s">
        <v>2080</v>
      </c>
      <c r="H370" s="0" t="str">
        <f aca="false">_xlfn.CONCAT(Atakapa_Parsed_Corpus[[#This Row],[Gloss.1]],"    ",Atakapa_Parsed_Corpus[[#This Row],[Gloss.3]])</f>
        <v>n̥tan nešpalhicon-kin tohi=ya lok-kin   tiw-šak-n̥onš    iš-waŋ-ehe</v>
      </c>
      <c r="I370" s="0" t="str">
        <f aca="false">_xlfn.CONCAT(Atakapa_Parsed_Corpus[[#This Row],[Gloss.2]],"    ",Atakapa_Parsed_Corpus[[#This Row],[Gloss.4]])</f>
        <v>be.or buggy-loc     get.in=and prairie-loc GO(PL)-3PLO-visit    1PLSTATS-go.about-DUB</v>
      </c>
      <c r="J370" s="0" t="s">
        <v>2081</v>
      </c>
      <c r="K370" s="3" t="s">
        <v>2082</v>
      </c>
    </row>
    <row r="371" customFormat="false" ht="15" hidden="false" customHeight="false" outlineLevel="0" collapsed="false">
      <c r="A371" s="0" t="n">
        <v>473</v>
      </c>
      <c r="B371" s="0" t="s">
        <v>2083</v>
      </c>
      <c r="C371" s="0" t="s">
        <v>2084</v>
      </c>
      <c r="D371" s="0" t="s">
        <v>2085</v>
      </c>
      <c r="E371" s="0" t="s">
        <v>2086</v>
      </c>
      <c r="H371" s="0" t="str">
        <f aca="false">_xlfn.CONCAT(Atakapa_Parsed_Corpus[[#This Row],[Gloss.1]],"    ",Atakapa_Parsed_Corpus[[#This Row],[Gloss.3]])</f>
        <v>kicá·k    pay-hewš-hi-am-at    </v>
      </c>
      <c r="I371" s="0" t="str">
        <f aca="false">_xlfn.CONCAT(Atakapa_Parsed_Corpus[[#This Row],[Gloss.2]],"    ",Atakapa_Parsed_Corpus[[#This Row],[Gloss.4]])</f>
        <v>whiskey   return-be.much-1sstats-drink-pret    </v>
      </c>
      <c r="J371" s="0" t="s">
        <v>2087</v>
      </c>
      <c r="K371" s="3" t="s">
        <v>2088</v>
      </c>
    </row>
    <row r="372" customFormat="false" ht="15" hidden="false" customHeight="false" outlineLevel="0" collapsed="false">
      <c r="A372" s="0" t="n">
        <v>474</v>
      </c>
      <c r="C372" s="0" t="s">
        <v>2089</v>
      </c>
      <c r="D372" s="0" t="s">
        <v>2090</v>
      </c>
      <c r="E372" s="0" t="s">
        <v>2091</v>
      </c>
      <c r="H372" s="0" t="str">
        <f aca="false">_xlfn.CONCAT(Atakapa_Parsed_Corpus[[#This Row],[Gloss.1]],"    ",Atakapa_Parsed_Corpus[[#This Row],[Gloss.3]])</f>
        <v>šul  paknaw-tik=ya  puh-hatipaciš-ø-at    </v>
      </c>
      <c r="I372" s="0" t="str">
        <f aca="false">_xlfn.CONCAT(Atakapa_Parsed_Corpus[[#This Row],[Gloss.2]],"    ",Atakapa_Parsed_Corpus[[#This Row],[Gloss.4]])</f>
        <v>dog  run-go=and     jump(sg)-turn.somersault-3SS-PRET    </v>
      </c>
      <c r="J372" s="0" t="s">
        <v>2092</v>
      </c>
      <c r="K372" s="3" t="s">
        <v>2093</v>
      </c>
    </row>
    <row r="373" customFormat="false" ht="15" hidden="false" customHeight="false" outlineLevel="0" collapsed="false">
      <c r="A373" s="0" t="n">
        <v>475</v>
      </c>
      <c r="B373" s="0" t="s">
        <v>2094</v>
      </c>
      <c r="C373" s="0" t="s">
        <v>2095</v>
      </c>
      <c r="D373" s="0" t="s">
        <v>2096</v>
      </c>
      <c r="E373" s="0" t="s">
        <v>2097</v>
      </c>
      <c r="H373" s="0" t="str">
        <f aca="false">_xlfn.CONCAT(Atakapa_Parsed_Corpus[[#This Row],[Gloss.1]],"    ",Atakapa_Parsed_Corpus[[#This Row],[Gloss.3]])</f>
        <v>hiyen tem      nimá-cel=ya kuy-hat-kol       šak-ka-cel    </v>
      </c>
      <c r="I373" s="0" t="str">
        <f aca="false">_xlfn.CONCAT(Atakapa_Parsed_Corpus[[#This Row],[Gloss.2]],"    ",Atakapa_Parsed_Corpus[[#This Row],[Gloss.4]])</f>
        <v>pig  yesterday kill-1pls=and intestine-REFLEX-stuff 3PLO-do-1PLS    </v>
      </c>
      <c r="J373" s="0" t="s">
        <v>2098</v>
      </c>
      <c r="K373" s="3" t="s">
        <v>2099</v>
      </c>
    </row>
    <row r="374" customFormat="false" ht="15" hidden="false" customHeight="false" outlineLevel="0" collapsed="false">
      <c r="A374" s="0" t="n">
        <v>476</v>
      </c>
      <c r="B374" s="0" t="s">
        <v>2100</v>
      </c>
      <c r="C374" s="0" t="s">
        <v>2101</v>
      </c>
      <c r="D374" s="0" t="s">
        <v>2102</v>
      </c>
      <c r="E374" s="0" t="s">
        <v>2103</v>
      </c>
      <c r="H374" s="0" t="str">
        <f aca="false">_xlfn.CONCAT(Atakapa_Parsed_Corpus[[#This Row],[Gloss.1]],"    ",Atakapa_Parsed_Corpus[[#This Row],[Gloss.3]])</f>
        <v>yukit iyi=ya   puh-iceš-cel    </v>
      </c>
      <c r="I374" s="0" t="str">
        <f aca="false">_xlfn.CONCAT(Atakapa_Parsed_Corpus[[#This Row],[Gloss.2]],"    ",Atakapa_Parsed_Corpus[[#This Row],[Gloss.4]])</f>
        <v>we   get.up=AND jump-go.over-1PLS    </v>
      </c>
      <c r="J374" s="0" t="s">
        <v>2104</v>
      </c>
      <c r="K374" s="3" t="s">
        <v>2105</v>
      </c>
    </row>
    <row r="375" customFormat="false" ht="15" hidden="false" customHeight="false" outlineLevel="0" collapsed="false">
      <c r="A375" s="0" t="n">
        <v>478</v>
      </c>
      <c r="B375" s="0" t="s">
        <v>2106</v>
      </c>
      <c r="C375" s="0" t="s">
        <v>2107</v>
      </c>
      <c r="D375" s="0" t="s">
        <v>2108</v>
      </c>
      <c r="E375" s="0" t="s">
        <v>2109</v>
      </c>
      <c r="H375" s="0" t="str">
        <f aca="false">_xlfn.CONCAT(Atakapa_Parsed_Corpus[[#This Row],[Gloss.1]],"    ",Atakapa_Parsed_Corpus[[#This Row],[Gloss.3]])</f>
        <v>uc   hat-hopš-o    </v>
      </c>
      <c r="I375" s="0" t="str">
        <f aca="false">_xlfn.CONCAT(Atakapa_Parsed_Corpus[[#This Row],[Gloss.2]],"    ",Atakapa_Parsed_Corpus[[#This Row],[Gloss.4]])</f>
        <v>nose REFLEX-pierce-1SS    </v>
      </c>
      <c r="J375" s="0" t="s">
        <v>2110</v>
      </c>
      <c r="K375" s="3" t="s">
        <v>2111</v>
      </c>
    </row>
    <row r="376" customFormat="false" ht="15" hidden="false" customHeight="false" outlineLevel="0" collapsed="false">
      <c r="A376" s="0" t="n">
        <v>479</v>
      </c>
      <c r="B376" s="0" t="s">
        <v>2112</v>
      </c>
      <c r="C376" s="0" t="s">
        <v>2113</v>
      </c>
      <c r="D376" s="0" t="s">
        <v>2114</v>
      </c>
      <c r="E376" s="0" t="s">
        <v>2115</v>
      </c>
      <c r="H376" s="0" t="str">
        <f aca="false">_xlfn.CONCAT(Atakapa_Parsed_Corpus[[#This Row],[Gloss.1]],"    ",Atakapa_Parsed_Corpus[[#This Row],[Gloss.3]])</f>
        <v>uc   hi-pošk-kit    </v>
      </c>
      <c r="I376" s="0" t="str">
        <f aca="false">_xlfn.CONCAT(Atakapa_Parsed_Corpus[[#This Row],[Gloss.2]],"    ",Atakapa_Parsed_Corpus[[#This Row],[Gloss.4]])</f>
        <v>nose 1SSTATS-bleed-PROG(SG)    </v>
      </c>
      <c r="J376" s="0" t="s">
        <v>2116</v>
      </c>
      <c r="K376" s="3" t="s">
        <v>2117</v>
      </c>
    </row>
    <row r="377" customFormat="false" ht="15" hidden="false" customHeight="false" outlineLevel="0" collapsed="false">
      <c r="A377" s="0" t="n">
        <v>480</v>
      </c>
      <c r="B377" s="0" t="s">
        <v>2118</v>
      </c>
      <c r="C377" s="0" t="s">
        <v>2119</v>
      </c>
      <c r="D377" s="0" t="s">
        <v>2120</v>
      </c>
      <c r="E377" s="0" t="s">
        <v>2121</v>
      </c>
      <c r="H377" s="0" t="str">
        <f aca="false">_xlfn.CONCAT(Atakapa_Parsed_Corpus[[#This Row],[Gloss.1]],"    ",Atakapa_Parsed_Corpus[[#This Row],[Gloss.3]])</f>
        <v>tuc  hat-kokiš-o    </v>
      </c>
      <c r="I377" s="0" t="str">
        <f aca="false">_xlfn.CONCAT(Atakapa_Parsed_Corpus[[#This Row],[Gloss.2]],"    ",Atakapa_Parsed_Corpus[[#This Row],[Gloss.4]])</f>
        <v>leg  REFLEX-bend-1SS    </v>
      </c>
      <c r="J377" s="0" t="s">
        <v>2122</v>
      </c>
      <c r="K377" s="3" t="s">
        <v>2123</v>
      </c>
    </row>
    <row r="378" customFormat="false" ht="15" hidden="false" customHeight="false" outlineLevel="0" collapsed="false">
      <c r="A378" s="0" t="n">
        <v>481</v>
      </c>
      <c r="B378" s="0" t="s">
        <v>2124</v>
      </c>
      <c r="C378" s="0" t="s">
        <v>2125</v>
      </c>
      <c r="D378" s="0" t="s">
        <v>2126</v>
      </c>
      <c r="E378" s="0" t="s">
        <v>2127</v>
      </c>
      <c r="H378" s="0" t="str">
        <f aca="false">_xlfn.CONCAT(Atakapa_Parsed_Corpus[[#This Row],[Gloss.1]],"    ",Atakapa_Parsed_Corpus[[#This Row],[Gloss.3]])</f>
        <v>e·ŋ  hi-wahu-ul-at    </v>
      </c>
      <c r="I378" s="0" t="str">
        <f aca="false">_xlfn.CONCAT(Atakapa_Parsed_Corpus[[#This Row],[Gloss.2]],"    ",Atakapa_Parsed_Corpus[[#This Row],[Gloss.4]])</f>
        <v>name 1SO-call-3PLS-PRET    </v>
      </c>
      <c r="J378" s="0" t="s">
        <v>2128</v>
      </c>
      <c r="K378" s="3" t="s">
        <v>2129</v>
      </c>
    </row>
    <row r="379" customFormat="false" ht="15" hidden="false" customHeight="false" outlineLevel="0" collapsed="false">
      <c r="A379" s="0" t="n">
        <v>482</v>
      </c>
      <c r="B379" s="0" t="s">
        <v>872</v>
      </c>
      <c r="C379" s="0" t="s">
        <v>873</v>
      </c>
      <c r="D379" s="0" t="s">
        <v>874</v>
      </c>
      <c r="E379" s="0" t="s">
        <v>875</v>
      </c>
      <c r="F379" s="0" t="s">
        <v>876</v>
      </c>
      <c r="G379" s="0" t="s">
        <v>877</v>
      </c>
      <c r="H379" s="0" t="str">
        <f aca="false">_xlfn.CONCAT(Atakapa_Parsed_Corpus[[#This Row],[Gloss.1]],"    ",Atakapa_Parsed_Corpus[[#This Row],[Gloss.3]])</f>
        <v>wiw-ul-at      iša·k     šak-pihk  tan-hew    ok-šak-hu-ul-at</v>
      </c>
      <c r="I379" s="0" t="str">
        <f aca="false">_xlfn.CONCAT(Atakapa_Parsed_Corpus[[#This Row],[Gloss.2]],"    ",Atakapa_Parsed_Corpus[[#This Row],[Gloss.4]])</f>
        <v>believe-3PLS-PRET person PL-die(pl) other-PL    come-3PLO-see-3PLS-PRET</v>
      </c>
      <c r="J379" s="0" t="s">
        <v>2130</v>
      </c>
      <c r="K379" s="3" t="s">
        <v>2131</v>
      </c>
    </row>
    <row r="380" customFormat="false" ht="15" hidden="false" customHeight="false" outlineLevel="0" collapsed="false">
      <c r="A380" s="0" t="n">
        <v>483</v>
      </c>
      <c r="B380" s="0" t="s">
        <v>2132</v>
      </c>
      <c r="C380" s="0" t="s">
        <v>2133</v>
      </c>
      <c r="D380" s="0" t="s">
        <v>2134</v>
      </c>
      <c r="E380" s="0" t="s">
        <v>2135</v>
      </c>
      <c r="H380" s="0" t="str">
        <f aca="false">_xlfn.CONCAT(Atakapa_Parsed_Corpus[[#This Row],[Gloss.1]],"    ",Atakapa_Parsed_Corpus[[#This Row],[Gloss.3]])</f>
        <v>ša        šoke·š    tiht      wi   hi-nay    </v>
      </c>
      <c r="I380" s="0" t="str">
        <f aca="false">_xlfn.CONCAT(Atakapa_Parsed_Corpus[[#This Row],[Gloss.2]],"    ",Atakapa_Parsed_Corpus[[#This Row],[Gloss.4]])</f>
        <v>someone   sick      lie(sg)   I    1SSTATS-think    </v>
      </c>
      <c r="J380" s="0" t="s">
        <v>2136</v>
      </c>
      <c r="K380" s="3" t="s">
        <v>2137</v>
      </c>
    </row>
    <row r="381" customFormat="false" ht="15" hidden="false" customHeight="false" outlineLevel="0" collapsed="false">
      <c r="A381" s="0" t="n">
        <v>484</v>
      </c>
      <c r="B381" s="0" t="s">
        <v>563</v>
      </c>
      <c r="C381" s="0" t="s">
        <v>564</v>
      </c>
      <c r="D381" s="0" t="s">
        <v>565</v>
      </c>
      <c r="E381" s="0" t="s">
        <v>566</v>
      </c>
      <c r="H381" s="0" t="str">
        <f aca="false">_xlfn.CONCAT(Atakapa_Parsed_Corpus[[#This Row],[Gloss.1]],"    ",Atakapa_Parsed_Corpus[[#This Row],[Gloss.3]])</f>
        <v>wi   ite·t hi-ok-ne      ø-oŋš    </v>
      </c>
      <c r="I381" s="0" t="str">
        <f aca="false">_xlfn.CONCAT(Atakapa_Parsed_Corpus[[#This Row],[Gloss.2]],"    ",Atakapa_Parsed_Corpus[[#This Row],[Gloss.4]])</f>
        <v>my   father 1SSTATS-come-GER 3STATS-not.want    </v>
      </c>
      <c r="J381" s="0" t="s">
        <v>2138</v>
      </c>
      <c r="K381" s="3" t="s">
        <v>2139</v>
      </c>
    </row>
    <row r="382" customFormat="false" ht="15" hidden="false" customHeight="false" outlineLevel="0" collapsed="false">
      <c r="A382" s="0" t="n">
        <v>485</v>
      </c>
      <c r="B382" s="0" t="s">
        <v>490</v>
      </c>
      <c r="C382" s="0" t="s">
        <v>491</v>
      </c>
      <c r="D382" s="0" t="s">
        <v>492</v>
      </c>
      <c r="E382" s="0" t="s">
        <v>493</v>
      </c>
      <c r="H382" s="0" t="str">
        <f aca="false">_xlfn.CONCAT(Atakapa_Parsed_Corpus[[#This Row],[Gloss.1]],"    ",Atakapa_Parsed_Corpus[[#This Row],[Gloss.3]])</f>
        <v>yil  pahw      n̥-yaw-ta           n̥-ok-ne    </v>
      </c>
      <c r="I382" s="0" t="str">
        <f aca="false">_xlfn.CONCAT(Atakapa_Parsed_Corpus[[#This Row],[Gloss.2]],"    ",Atakapa_Parsed_Corpus[[#This Row],[Gloss.4]])</f>
        <v>day  seven     2SOBJ-wait.for-PCPL 2SSTATS-come-GER    </v>
      </c>
      <c r="J382" s="0" t="s">
        <v>2140</v>
      </c>
      <c r="K382" s="3" t="s">
        <v>2141</v>
      </c>
    </row>
    <row r="383" customFormat="false" ht="15" hidden="false" customHeight="false" outlineLevel="0" collapsed="false">
      <c r="A383" s="0" t="n">
        <v>486</v>
      </c>
      <c r="B383" s="0" t="s">
        <v>2142</v>
      </c>
      <c r="C383" s="0" t="s">
        <v>2143</v>
      </c>
      <c r="D383" s="0" t="s">
        <v>2144</v>
      </c>
      <c r="E383" s="0" t="s">
        <v>2145</v>
      </c>
      <c r="H383" s="0" t="str">
        <f aca="false">_xlfn.CONCAT(Atakapa_Parsed_Corpus[[#This Row],[Gloss.1]],"    ",Atakapa_Parsed_Corpus[[#This Row],[Gloss.3]])</f>
        <v>nuŋ-kin   toh-ul-at      kakaw     iyec-ne-ot    </v>
      </c>
      <c r="I383" s="0" t="str">
        <f aca="false">_xlfn.CONCAT(Atakapa_Parsed_Corpus[[#This Row],[Gloss.2]],"    ",Atakapa_Parsed_Corpus[[#This Row],[Gloss.4]])</f>
        <v>village-LOC dwell-3PLS-PRET sun    rise-GER-DIR    </v>
      </c>
      <c r="J383" s="0" t="s">
        <v>2146</v>
      </c>
      <c r="K383" s="3" t="s">
        <v>2147</v>
      </c>
    </row>
    <row r="384" customFormat="false" ht="15" hidden="false" customHeight="false" outlineLevel="0" collapsed="false">
      <c r="A384" s="0" t="n">
        <v>487</v>
      </c>
      <c r="B384" s="0" t="s">
        <v>2148</v>
      </c>
      <c r="C384" s="0" t="s">
        <v>2149</v>
      </c>
      <c r="D384" s="0" t="s">
        <v>2150</v>
      </c>
      <c r="E384" s="0" t="s">
        <v>2151</v>
      </c>
      <c r="F384" s="0" t="s">
        <v>2152</v>
      </c>
      <c r="G384" s="0" t="s">
        <v>2153</v>
      </c>
      <c r="H384" s="0" t="str">
        <f aca="false">_xlfn.CONCAT(Atakapa_Parsed_Corpus[[#This Row],[Gloss.1]],"    ",Atakapa_Parsed_Corpus[[#This Row],[Gloss.3]])</f>
        <v>ica·k     canuk-kin &lt;šak&gt;-iŋi      šak-nawš-ø    iyaŋ-ik        mò·n      n̥-ka-ne</v>
      </c>
      <c r="I384" s="0" t="str">
        <f aca="false">_xlfn.CONCAT(Atakapa_Parsed_Corpus[[#This Row],[Gloss.2]],"    ",Atakapa_Parsed_Corpus[[#This Row],[Gloss.4]])</f>
        <v>person    horse-LOC 3PLO-look.for  3PLO-let-2SIMP    there-ERG.AGNT be.all    2SS-do-GER</v>
      </c>
      <c r="J384" s="0" t="s">
        <v>2154</v>
      </c>
      <c r="K384" s="3" t="s">
        <v>2155</v>
      </c>
    </row>
    <row r="385" customFormat="false" ht="15" hidden="false" customHeight="false" outlineLevel="0" collapsed="false">
      <c r="A385" s="0" t="n">
        <v>488</v>
      </c>
      <c r="C385" s="0" t="s">
        <v>2156</v>
      </c>
      <c r="D385" s="0" t="s">
        <v>2157</v>
      </c>
      <c r="E385" s="0" t="s">
        <v>2158</v>
      </c>
      <c r="H385" s="0" t="str">
        <f aca="false">_xlfn.CONCAT(Atakapa_Parsed_Corpus[[#This Row],[Gloss.1]],"    ",Atakapa_Parsed_Corpus[[#This Row],[Gloss.3]])</f>
        <v>n̥-tol         a    </v>
      </c>
      <c r="I385" s="0" t="str">
        <f aca="false">_xlfn.CONCAT(Atakapa_Parsed_Corpus[[#This Row],[Gloss.2]],"    ",Atakapa_Parsed_Corpus[[#This Row],[Gloss.4]])</f>
        <v>2SSTATS-be.good Q    </v>
      </c>
      <c r="J385" s="0" t="s">
        <v>2159</v>
      </c>
      <c r="K385" s="3" t="s">
        <v>2160</v>
      </c>
    </row>
    <row r="386" customFormat="false" ht="15" hidden="false" customHeight="false" outlineLevel="0" collapsed="false">
      <c r="A386" s="0" t="n">
        <v>489</v>
      </c>
      <c r="B386" s="0" t="s">
        <v>910</v>
      </c>
      <c r="C386" s="0" t="s">
        <v>911</v>
      </c>
      <c r="D386" s="0" t="s">
        <v>2161</v>
      </c>
      <c r="E386" s="0" t="s">
        <v>913</v>
      </c>
      <c r="H386" s="0" t="str">
        <f aca="false">_xlfn.CONCAT(Atakapa_Parsed_Corpus[[#This Row],[Gloss.1]],"    ",Atakapa_Parsed_Corpus[[#This Row],[Gloss.3]])</f>
        <v>n̥-hi-hu-hahš       a    </v>
      </c>
      <c r="I386" s="0" t="str">
        <f aca="false">_xlfn.CONCAT(Atakapa_Parsed_Corpus[[#This Row],[Gloss.2]],"    ",Atakapa_Parsed_Corpus[[#This Row],[Gloss.4]])</f>
        <v>2SSTATS-1SO-see-NEG Q    </v>
      </c>
      <c r="J386" s="0" t="s">
        <v>2162</v>
      </c>
      <c r="K386" s="3" t="s">
        <v>2163</v>
      </c>
    </row>
    <row r="387" customFormat="false" ht="15" hidden="false" customHeight="false" outlineLevel="0" collapsed="false">
      <c r="A387" s="0" t="n">
        <v>490</v>
      </c>
      <c r="B387" s="0" t="s">
        <v>2164</v>
      </c>
      <c r="C387" s="0" t="s">
        <v>2165</v>
      </c>
      <c r="D387" s="0" t="s">
        <v>2166</v>
      </c>
      <c r="E387" s="0" t="s">
        <v>2167</v>
      </c>
      <c r="F387" s="0" t="s">
        <v>2168</v>
      </c>
      <c r="G387" s="0" t="s">
        <v>2169</v>
      </c>
      <c r="H387" s="0" t="str">
        <f aca="false">_xlfn.CONCAT(Atakapa_Parsed_Corpus[[#This Row],[Gloss.1]],"    ",Atakapa_Parsed_Corpus[[#This Row],[Gloss.3]])</f>
        <v>n̥-hi-in-at         hatnah-ka      pay-hi-tiš-ne-n    2SSTATS-1SO-ask-PRET so.much-ADV   BACK-1SSTATS-go(sg)-GER-Q</v>
      </c>
      <c r="I387" s="0" t="str">
        <f aca="false">_xlfn.CONCAT(Atakapa_Parsed_Corpus[[#This Row],[Gloss.2]],"    ",Atakapa_Parsed_Corpus[[#This Row],[Gloss.4]])</f>
        <v>a    Q</v>
      </c>
      <c r="J387" s="0" t="s">
        <v>2170</v>
      </c>
      <c r="K387" s="3" t="s">
        <v>2171</v>
      </c>
    </row>
    <row r="388" customFormat="false" ht="15" hidden="false" customHeight="false" outlineLevel="0" collapsed="false">
      <c r="A388" s="0" t="n">
        <v>492</v>
      </c>
      <c r="B388" s="0" t="s">
        <v>2172</v>
      </c>
      <c r="C388" s="0" t="s">
        <v>2173</v>
      </c>
      <c r="D388" s="0" t="s">
        <v>2174</v>
      </c>
      <c r="E388" s="0" t="s">
        <v>2175</v>
      </c>
      <c r="H388" s="0" t="str">
        <f aca="false">_xlfn.CONCAT(Atakapa_Parsed_Corpus[[#This Row],[Gloss.1]],"    ",Atakapa_Parsed_Corpus[[#This Row],[Gloss.3]])</f>
        <v>ša        a    na-iš    </v>
      </c>
      <c r="I388" s="0" t="str">
        <f aca="false">_xlfn.CONCAT(Atakapa_Parsed_Corpus[[#This Row],[Gloss.2]],"    ",Atakapa_Parsed_Corpus[[#This Row],[Gloss.4]])</f>
        <v>someone   Q    you-FOC    </v>
      </c>
      <c r="J388" s="0" t="s">
        <v>2176</v>
      </c>
      <c r="K388" s="3" t="s">
        <v>2177</v>
      </c>
    </row>
    <row r="389" customFormat="false" ht="15" hidden="false" customHeight="false" outlineLevel="0" collapsed="false">
      <c r="A389" s="0" t="n">
        <v>493</v>
      </c>
      <c r="B389" s="0" t="s">
        <v>2178</v>
      </c>
      <c r="C389" s="0" t="s">
        <v>2179</v>
      </c>
      <c r="D389" s="0" t="s">
        <v>2180</v>
      </c>
      <c r="E389" s="0" t="s">
        <v>2181</v>
      </c>
      <c r="H389" s="0" t="str">
        <f aca="false">_xlfn.CONCAT(Atakapa_Parsed_Corpus[[#This Row],[Gloss.1]],"    ",Atakapa_Parsed_Corpus[[#This Row],[Gloss.3]])</f>
        <v>šok       n̥-ka     a    </v>
      </c>
      <c r="I389" s="0" t="str">
        <f aca="false">_xlfn.CONCAT(Atakapa_Parsed_Corpus[[#This Row],[Gloss.2]],"    ",Atakapa_Parsed_Corpus[[#This Row],[Gloss.4]])</f>
        <v>something 2SSTATS-do Q    </v>
      </c>
      <c r="J389" s="0" t="s">
        <v>2182</v>
      </c>
      <c r="K389" s="3" t="s">
        <v>2183</v>
      </c>
    </row>
    <row r="390" customFormat="false" ht="15" hidden="false" customHeight="false" outlineLevel="0" collapsed="false">
      <c r="A390" s="0" t="n">
        <v>494</v>
      </c>
      <c r="B390" s="0" t="s">
        <v>2184</v>
      </c>
      <c r="C390" s="0" t="s">
        <v>2185</v>
      </c>
      <c r="D390" s="0" t="s">
        <v>2186</v>
      </c>
      <c r="E390" s="0" t="s">
        <v>2187</v>
      </c>
      <c r="H390" s="0" t="str">
        <f aca="false">_xlfn.CONCAT(Atakapa_Parsed_Corpus[[#This Row],[Gloss.1]],"    ",Atakapa_Parsed_Corpus[[#This Row],[Gloss.3]])</f>
        <v>šok       na   komhopš-kin n̥-ke        a    </v>
      </c>
      <c r="I390" s="0" t="str">
        <f aca="false">_xlfn.CONCAT(Atakapa_Parsed_Corpus[[#This Row],[Gloss.2]],"    ",Atakapa_Parsed_Corpus[[#This Row],[Gloss.4]])</f>
        <v>something your pocket-LOC 2SSTATS-have  Q    </v>
      </c>
      <c r="J390" s="0" t="s">
        <v>2188</v>
      </c>
      <c r="K390" s="3" t="s">
        <v>2189</v>
      </c>
    </row>
    <row r="391" customFormat="false" ht="15" hidden="false" customHeight="false" outlineLevel="0" collapsed="false">
      <c r="A391" s="0" t="n">
        <v>495</v>
      </c>
      <c r="B391" s="0" t="s">
        <v>2190</v>
      </c>
      <c r="C391" s="0" t="s">
        <v>2191</v>
      </c>
      <c r="D391" s="0" t="s">
        <v>2192</v>
      </c>
      <c r="E391" s="0" t="s">
        <v>2193</v>
      </c>
      <c r="H391" s="0" t="str">
        <f aca="false">_xlfn.CONCAT(Atakapa_Parsed_Corpus[[#This Row],[Gloss.1]],"    ",Atakapa_Parsed_Corpus[[#This Row],[Gloss.3]])</f>
        <v>hakit     šin-hew   a    </v>
      </c>
      <c r="I391" s="0" t="str">
        <f aca="false">_xlfn.CONCAT(Atakapa_Parsed_Corpus[[#This Row],[Gloss.2]],"    ",Atakapa_Parsed_Corpus[[#This Row],[Gloss.4]])</f>
        <v>they      who-PL    Q    </v>
      </c>
      <c r="J391" s="0" t="s">
        <v>2194</v>
      </c>
      <c r="K391" s="3" t="s">
        <v>2195</v>
      </c>
    </row>
    <row r="392" customFormat="false" ht="15" hidden="false" customHeight="false" outlineLevel="0" collapsed="false">
      <c r="A392" s="0" t="n">
        <v>496</v>
      </c>
      <c r="C392" s="0" t="s">
        <v>2196</v>
      </c>
      <c r="D392" s="0" t="s">
        <v>2197</v>
      </c>
      <c r="E392" s="0" t="s">
        <v>2198</v>
      </c>
      <c r="H392" s="0" t="str">
        <f aca="false">_xlfn.CONCAT(Atakapa_Parsed_Corpus[[#This Row],[Gloss.1]],"    ",Atakapa_Parsed_Corpus[[#This Row],[Gloss.3]])</f>
        <v>šin-hew   ya   šok-šak-yikš    </v>
      </c>
      <c r="I392" s="0" t="str">
        <f aca="false">_xlfn.CONCAT(Atakapa_Parsed_Corpus[[#This Row],[Gloss.2]],"    ",Atakapa_Parsed_Corpus[[#This Row],[Gloss.4]])</f>
        <v>who-PL    that STH-3PLO-sell    </v>
      </c>
      <c r="J392" s="0" t="s">
        <v>2199</v>
      </c>
      <c r="K392" s="3" t="s">
        <v>2200</v>
      </c>
    </row>
    <row r="393" customFormat="false" ht="15" hidden="false" customHeight="false" outlineLevel="0" collapsed="false">
      <c r="A393" s="0" t="n">
        <v>497</v>
      </c>
      <c r="B393" s="0" t="s">
        <v>2201</v>
      </c>
      <c r="C393" s="0" t="s">
        <v>2202</v>
      </c>
      <c r="D393" s="0" t="s">
        <v>2203</v>
      </c>
      <c r="E393" s="0" t="s">
        <v>2204</v>
      </c>
      <c r="H393" s="0" t="str">
        <f aca="false">_xlfn.CONCAT(Atakapa_Parsed_Corpus[[#This Row],[Gloss.1]],"    ",Atakapa_Parsed_Corpus[[#This Row],[Gloss.3]])</f>
        <v>itaŋ-ike  ok-ø-n̥    </v>
      </c>
      <c r="I393" s="0" t="str">
        <f aca="false">_xlfn.CONCAT(Atakapa_Parsed_Corpus[[#This Row],[Gloss.2]],"    ",Atakapa_Parsed_Corpus[[#This Row],[Gloss.4]])</f>
        <v>place-EL  come-3SS-Q    </v>
      </c>
      <c r="J393" s="0" t="s">
        <v>2205</v>
      </c>
      <c r="K393" s="3" t="s">
        <v>2206</v>
      </c>
    </row>
    <row r="394" customFormat="false" ht="15" hidden="false" customHeight="false" outlineLevel="0" collapsed="false">
      <c r="A394" s="0" t="n">
        <v>498</v>
      </c>
      <c r="B394" s="0" t="s">
        <v>2207</v>
      </c>
      <c r="C394" s="0" t="s">
        <v>2208</v>
      </c>
      <c r="D394" s="0" t="s">
        <v>2209</v>
      </c>
      <c r="E394" s="0" t="s">
        <v>2210</v>
      </c>
      <c r="H394" s="0" t="str">
        <f aca="false">_xlfn.CONCAT(Atakapa_Parsed_Corpus[[#This Row],[Gloss.1]],"    ",Atakapa_Parsed_Corpus[[#This Row],[Gloss.3]])</f>
        <v>šul  itaŋ a    </v>
      </c>
      <c r="I394" s="0" t="str">
        <f aca="false">_xlfn.CONCAT(Atakapa_Parsed_Corpus[[#This Row],[Gloss.2]],"    ",Atakapa_Parsed_Corpus[[#This Row],[Gloss.4]])</f>
        <v>dog  place Q    </v>
      </c>
      <c r="J394" s="0" t="s">
        <v>2211</v>
      </c>
      <c r="K394" s="3" t="s">
        <v>2212</v>
      </c>
    </row>
    <row r="395" customFormat="false" ht="15" hidden="false" customHeight="false" outlineLevel="0" collapsed="false">
      <c r="A395" s="0" t="n">
        <v>499</v>
      </c>
      <c r="B395" s="0" t="s">
        <v>2213</v>
      </c>
      <c r="C395" s="0" t="s">
        <v>2214</v>
      </c>
      <c r="D395" s="0" t="s">
        <v>2215</v>
      </c>
      <c r="E395" s="0" t="s">
        <v>2216</v>
      </c>
      <c r="H395" s="0" t="str">
        <f aca="false">_xlfn.CONCAT(Atakapa_Parsed_Corpus[[#This Row],[Gloss.1]],"    ",Atakapa_Parsed_Corpus[[#This Row],[Gloss.3]])</f>
        <v>na   naw  itaŋ nay? aŋkat-mok-kin  nay-o    </v>
      </c>
      <c r="I395" s="0" t="str">
        <f aca="false">_xlfn.CONCAT(Atakapa_Parsed_Corpus[[#This Row],[Gloss.2]],"    ",Atakapa_Parsed_Corpus[[#This Row],[Gloss.4]])</f>
        <v>you  shoe place put door-short-LOC put-1SS    </v>
      </c>
      <c r="J395" s="0" t="s">
        <v>2217</v>
      </c>
      <c r="K395" s="3" t="s">
        <v>2218</v>
      </c>
    </row>
    <row r="396" customFormat="false" ht="15" hidden="false" customHeight="false" outlineLevel="0" collapsed="false">
      <c r="A396" s="0" t="n">
        <v>501</v>
      </c>
      <c r="B396" s="0" t="s">
        <v>2219</v>
      </c>
      <c r="C396" s="0" t="s">
        <v>2220</v>
      </c>
      <c r="D396" s="0" t="s">
        <v>2221</v>
      </c>
      <c r="E396" s="0" t="s">
        <v>2222</v>
      </c>
      <c r="H396" s="0" t="str">
        <f aca="false">_xlfn.CONCAT(Atakapa_Parsed_Corpus[[#This Row],[Gloss.1]],"    ",Atakapa_Parsed_Corpus[[#This Row],[Gloss.3]])</f>
        <v>na   nomš ma    </v>
      </c>
      <c r="I396" s="0" t="str">
        <f aca="false">_xlfn.CONCAT(Atakapa_Parsed_Corpus[[#This Row],[Gloss.2]],"    ",Atakapa_Parsed_Corpus[[#This Row],[Gloss.4]])</f>
        <v>your child where.is    </v>
      </c>
      <c r="J396" s="0" t="s">
        <v>2223</v>
      </c>
      <c r="K396" s="3" t="s">
        <v>2224</v>
      </c>
    </row>
    <row r="397" customFormat="false" ht="15" hidden="false" customHeight="false" outlineLevel="0" collapsed="false">
      <c r="A397" s="0" t="n">
        <v>502</v>
      </c>
      <c r="B397" s="0" t="s">
        <v>2225</v>
      </c>
      <c r="C397" s="0" t="s">
        <v>2226</v>
      </c>
      <c r="D397" s="0" t="s">
        <v>2227</v>
      </c>
      <c r="E397" s="0" t="s">
        <v>2228</v>
      </c>
      <c r="H397" s="0" t="str">
        <f aca="false">_xlfn.CONCAT(Atakapa_Parsed_Corpus[[#This Row],[Gloss.1]],"    ",Atakapa_Parsed_Corpus[[#This Row],[Gloss.3]])</f>
        <v>laklakš   hatnah    n̥-ke          a    </v>
      </c>
      <c r="I397" s="0" t="str">
        <f aca="false">_xlfn.CONCAT(Atakapa_Parsed_Corpus[[#This Row],[Gloss.2]],"    ",Atakapa_Parsed_Corpus[[#This Row],[Gloss.4]])</f>
        <v>money     so.much   2SSTATS-have   Q    </v>
      </c>
      <c r="J397" s="0" t="s">
        <v>2229</v>
      </c>
      <c r="K397" s="3" t="s">
        <v>2230</v>
      </c>
    </row>
    <row r="398" customFormat="false" ht="15" hidden="false" customHeight="false" outlineLevel="0" collapsed="false">
      <c r="A398" s="0" t="n">
        <v>503</v>
      </c>
      <c r="B398" s="0" t="s">
        <v>2231</v>
      </c>
      <c r="C398" s="0" t="s">
        <v>2232</v>
      </c>
      <c r="D398" s="0" t="s">
        <v>2233</v>
      </c>
      <c r="E398" s="0" t="s">
        <v>2234</v>
      </c>
      <c r="H398" s="0" t="str">
        <f aca="false">_xlfn.CONCAT(Atakapa_Parsed_Corpus[[#This Row],[Gloss.1]],"    ",Atakapa_Parsed_Corpus[[#This Row],[Gloss.3]])</f>
        <v>hatnah    hi-yikiš-ta    </v>
      </c>
      <c r="I398" s="0" t="str">
        <f aca="false">_xlfn.CONCAT(Atakapa_Parsed_Corpus[[#This Row],[Gloss.2]],"    ",Atakapa_Parsed_Corpus[[#This Row],[Gloss.4]])</f>
        <v>so.much   1SO-pay-PCPL    </v>
      </c>
      <c r="J398" s="0" t="s">
        <v>2235</v>
      </c>
      <c r="K398" s="3" t="s">
        <v>2236</v>
      </c>
    </row>
    <row r="399" customFormat="false" ht="15" hidden="false" customHeight="false" outlineLevel="0" collapsed="false">
      <c r="A399" s="0" t="n">
        <v>504</v>
      </c>
      <c r="B399" s="0" t="s">
        <v>2237</v>
      </c>
      <c r="C399" s="0" t="s">
        <v>2238</v>
      </c>
      <c r="D399" s="0" t="s">
        <v>2239</v>
      </c>
      <c r="E399" s="0" t="s">
        <v>2240</v>
      </c>
      <c r="H399" s="0" t="str">
        <f aca="false">_xlfn.CONCAT(Atakapa_Parsed_Corpus[[#This Row],[Gloss.1]],"    ",Atakapa_Parsed_Corpus[[#This Row],[Gloss.3]])</f>
        <v>hatnah-ka      ø-pel          a    </v>
      </c>
      <c r="I399" s="0" t="str">
        <f aca="false">_xlfn.CONCAT(Atakapa_Parsed_Corpus[[#This Row],[Gloss.2]],"    ",Atakapa_Parsed_Corpus[[#This Row],[Gloss.4]])</f>
        <v>so.much-ADV    3STATS-be.far  Q    </v>
      </c>
      <c r="J399" s="0" t="s">
        <v>2241</v>
      </c>
      <c r="K399" s="3" t="s">
        <v>2242</v>
      </c>
    </row>
    <row r="400" customFormat="false" ht="15" hidden="false" customHeight="false" outlineLevel="0" collapsed="false">
      <c r="A400" s="0" t="n">
        <v>505</v>
      </c>
      <c r="B400" s="0" t="s">
        <v>2243</v>
      </c>
      <c r="C400" s="0" t="s">
        <v>2244</v>
      </c>
      <c r="D400" s="0" t="s">
        <v>2245</v>
      </c>
      <c r="E400" s="0" t="s">
        <v>2246</v>
      </c>
      <c r="H400" s="0" t="str">
        <f aca="false">_xlfn.CONCAT(Atakapa_Parsed_Corpus[[#This Row],[Gloss.1]],"    ",Atakapa_Parsed_Corpus[[#This Row],[Gloss.3]])</f>
        <v>hatnah-ka      n̥-mec         a    </v>
      </c>
      <c r="I400" s="0" t="str">
        <f aca="false">_xlfn.CONCAT(Atakapa_Parsed_Corpus[[#This Row],[Gloss.2]],"    ",Atakapa_Parsed_Corpus[[#This Row],[Gloss.4]])</f>
        <v>so.much-ADV    2STATS-be.tall Q    </v>
      </c>
      <c r="J400" s="0" t="s">
        <v>2247</v>
      </c>
      <c r="K400" s="3" t="s">
        <v>2248</v>
      </c>
    </row>
    <row r="401" customFormat="false" ht="15" hidden="false" customHeight="false" outlineLevel="0" collapsed="false">
      <c r="A401" s="0" t="n">
        <v>506</v>
      </c>
      <c r="B401" s="0" t="s">
        <v>2249</v>
      </c>
      <c r="C401" s="0" t="s">
        <v>2250</v>
      </c>
      <c r="D401" s="0" t="s">
        <v>2251</v>
      </c>
      <c r="E401" s="0" t="s">
        <v>2252</v>
      </c>
      <c r="H401" s="0" t="str">
        <f aca="false">_xlfn.CONCAT(Atakapa_Parsed_Corpus[[#This Row],[Gloss.1]],"    ",Atakapa_Parsed_Corpus[[#This Row],[Gloss.3]])</f>
        <v>šokay a    </v>
      </c>
      <c r="I401" s="0" t="str">
        <f aca="false">_xlfn.CONCAT(Atakapa_Parsed_Corpus[[#This Row],[Gloss.2]],"    ",Atakapa_Parsed_Corpus[[#This Row],[Gloss.4]])</f>
        <v>why  Q    </v>
      </c>
      <c r="J401" s="0" t="s">
        <v>2253</v>
      </c>
      <c r="K401" s="3" t="s">
        <v>2254</v>
      </c>
    </row>
    <row r="402" customFormat="false" ht="15" hidden="false" customHeight="false" outlineLevel="0" collapsed="false">
      <c r="A402" s="0" t="n">
        <v>507</v>
      </c>
      <c r="B402" s="0" t="s">
        <v>2255</v>
      </c>
      <c r="C402" s="0" t="s">
        <v>2256</v>
      </c>
      <c r="D402" s="0" t="s">
        <v>2257</v>
      </c>
      <c r="E402" s="0" t="s">
        <v>2258</v>
      </c>
      <c r="H402" s="0" t="str">
        <f aca="false">_xlfn.CONCAT(Atakapa_Parsed_Corpus[[#This Row],[Gloss.1]],"    ",Atakapa_Parsed_Corpus[[#This Row],[Gloss.3]])</f>
        <v>šokay n̥-ok-hahš-ne-n    </v>
      </c>
      <c r="I402" s="0" t="str">
        <f aca="false">_xlfn.CONCAT(Atakapa_Parsed_Corpus[[#This Row],[Gloss.2]],"    ",Atakapa_Parsed_Corpus[[#This Row],[Gloss.4]])</f>
        <v>why  2SSTATS-come-NEG-GER-Q    </v>
      </c>
      <c r="J402" s="0" t="s">
        <v>2259</v>
      </c>
      <c r="K402" s="3" t="s">
        <v>2260</v>
      </c>
    </row>
    <row r="403" customFormat="false" ht="15" hidden="false" customHeight="false" outlineLevel="0" collapsed="false">
      <c r="A403" s="0" t="n">
        <v>508</v>
      </c>
      <c r="B403" s="0" t="s">
        <v>2261</v>
      </c>
      <c r="C403" s="0" t="s">
        <v>2262</v>
      </c>
      <c r="D403" s="0" t="s">
        <v>2263</v>
      </c>
      <c r="E403" s="0" t="s">
        <v>2264</v>
      </c>
      <c r="F403" s="0" t="s">
        <v>2265</v>
      </c>
      <c r="G403" s="0" t="s">
        <v>2266</v>
      </c>
      <c r="H403" s="0" t="str">
        <f aca="false">_xlfn.CONCAT(Atakapa_Parsed_Corpus[[#This Row],[Gloss.1]],"    ",Atakapa_Parsed_Corpus[[#This Row],[Gloss.3]])</f>
        <v>kica·k    ø-kaw=ya            waŋ-šak-ø-pam-koh=ya    šak-hewš</v>
      </c>
      <c r="I403" s="0" t="str">
        <f aca="false">_xlfn.CONCAT(Atakapa_Parsed_Corpus[[#This Row],[Gloss.2]],"    ",Atakapa_Parsed_Corpus[[#This Row],[Gloss.4]])</f>
        <v>whiskey   3SSTATS-die(sg)=and go.about-3PLOBJ-3STATS-beat-DESID=and    3PLOBJ-curse</v>
      </c>
      <c r="J403" s="0" t="s">
        <v>2072</v>
      </c>
      <c r="K403" s="3" t="s">
        <v>2267</v>
      </c>
    </row>
    <row r="404" customFormat="false" ht="15" hidden="false" customHeight="false" outlineLevel="0" collapsed="false">
      <c r="A404" s="0" t="n">
        <v>509</v>
      </c>
      <c r="B404" s="0" t="s">
        <v>1311</v>
      </c>
      <c r="C404" s="0" t="s">
        <v>2268</v>
      </c>
      <c r="D404" s="0" t="s">
        <v>2269</v>
      </c>
      <c r="E404" s="0" t="s">
        <v>2270</v>
      </c>
      <c r="H404" s="0" t="str">
        <f aca="false">_xlfn.CONCAT(Atakapa_Parsed_Corpus[[#This Row],[Gloss.1]],"    ",Atakapa_Parsed_Corpus[[#This Row],[Gloss.3]])</f>
        <v>kica·k    šak-pihk-ya         pam,hok,pam-iš-ul-at    </v>
      </c>
      <c r="I404" s="0" t="str">
        <f aca="false">_xlfn.CONCAT(Atakapa_Parsed_Corpus[[#This Row],[Gloss.2]],"    ",Atakapa_Parsed_Corpus[[#This Row],[Gloss.4]])</f>
        <v>whiskey   3PLSTATS-die(pl)-and REDUP,RECIP,beat-CAUS-3PLS-PRET    </v>
      </c>
      <c r="J404" s="0" t="s">
        <v>1315</v>
      </c>
      <c r="K404" s="3" t="s">
        <v>2271</v>
      </c>
    </row>
    <row r="405" customFormat="false" ht="15" hidden="false" customHeight="false" outlineLevel="0" collapsed="false">
      <c r="A405" s="0" t="n">
        <v>511</v>
      </c>
      <c r="B405" s="0" t="s">
        <v>2272</v>
      </c>
      <c r="C405" s="0" t="s">
        <v>2273</v>
      </c>
      <c r="D405" s="0" t="s">
        <v>2274</v>
      </c>
      <c r="E405" s="0" t="s">
        <v>2275</v>
      </c>
      <c r="H405" s="0" t="str">
        <f aca="false">_xlfn.CONCAT(Atakapa_Parsed_Corpus[[#This Row],[Gloss.1]],"    ",Atakapa_Parsed_Corpus[[#This Row],[Gloss.3]])</f>
        <v>kawkaw    hi-kaw-háh    </v>
      </c>
      <c r="I405" s="0" t="str">
        <f aca="false">_xlfn.CONCAT(Atakapa_Parsed_Corpus[[#This Row],[Gloss.2]],"    ",Atakapa_Parsed_Corpus[[#This Row],[Gloss.4]])</f>
        <v>water     1SSTATS-die(sg)-NEG    </v>
      </c>
      <c r="J405" s="0" t="s">
        <v>2276</v>
      </c>
      <c r="K405" s="3" t="s">
        <v>2277</v>
      </c>
    </row>
    <row r="406" customFormat="false" ht="15" hidden="false" customHeight="false" outlineLevel="0" collapsed="false">
      <c r="A406" s="0" t="n">
        <v>512</v>
      </c>
      <c r="B406" s="0" t="s">
        <v>2278</v>
      </c>
      <c r="C406" s="0" t="s">
        <v>2279</v>
      </c>
      <c r="D406" s="0" t="s">
        <v>2280</v>
      </c>
      <c r="E406" s="0" t="s">
        <v>2281</v>
      </c>
      <c r="H406" s="0" t="str">
        <f aca="false">_xlfn.CONCAT(Atakapa_Parsed_Corpus[[#This Row],[Gloss.1]],"    ",Atakapa_Parsed_Corpus[[#This Row],[Gloss.3]])</f>
        <v>kawkaw    nak-pihk       a    </v>
      </c>
      <c r="I406" s="0" t="str">
        <f aca="false">_xlfn.CONCAT(Atakapa_Parsed_Corpus[[#This Row],[Gloss.2]],"    ",Atakapa_Parsed_Corpus[[#This Row],[Gloss.4]])</f>
        <v>water     2PLSSTATS-die(pl) Q    </v>
      </c>
      <c r="J406" s="0" t="s">
        <v>2282</v>
      </c>
      <c r="K406" s="3" t="s">
        <v>2283</v>
      </c>
    </row>
    <row r="407" customFormat="false" ht="15" hidden="false" customHeight="false" outlineLevel="0" collapsed="false">
      <c r="A407" s="0" t="n">
        <v>513</v>
      </c>
      <c r="B407" s="0" t="s">
        <v>2284</v>
      </c>
      <c r="C407" s="0" t="s">
        <v>2285</v>
      </c>
      <c r="D407" s="0" t="s">
        <v>2286</v>
      </c>
      <c r="E407" s="0" t="s">
        <v>2287</v>
      </c>
      <c r="H407" s="0" t="str">
        <f aca="false">_xlfn.CONCAT(Atakapa_Parsed_Corpus[[#This Row],[Gloss.1]],"    ",Atakapa_Parsed_Corpus[[#This Row],[Gloss.3]])</f>
        <v>o·l  hi-kaw-hah    </v>
      </c>
      <c r="I407" s="0" t="str">
        <f aca="false">_xlfn.CONCAT(Atakapa_Parsed_Corpus[[#This Row],[Gloss.2]],"    ",Atakapa_Parsed_Corpus[[#This Row],[Gloss.4]])</f>
        <v>hunger    1SSTATS-die(sg)-NEG    </v>
      </c>
      <c r="J407" s="0" t="s">
        <v>2288</v>
      </c>
      <c r="K407" s="3" t="s">
        <v>2289</v>
      </c>
    </row>
    <row r="408" customFormat="false" ht="15" hidden="false" customHeight="false" outlineLevel="0" collapsed="false">
      <c r="A408" s="0" t="n">
        <v>515</v>
      </c>
      <c r="B408" s="0" t="s">
        <v>2290</v>
      </c>
      <c r="C408" s="0" t="s">
        <v>2291</v>
      </c>
      <c r="D408" s="0" t="s">
        <v>2292</v>
      </c>
      <c r="E408" s="0" t="s">
        <v>2293</v>
      </c>
      <c r="H408" s="0" t="str">
        <f aca="false">_xlfn.CONCAT(Atakapa_Parsed_Corpus[[#This Row],[Gloss.1]],"    ",Atakapa_Parsed_Corpus[[#This Row],[Gloss.3]])</f>
        <v>loŋloŋš   aŋ   koŋ-ø-at    </v>
      </c>
      <c r="I408" s="0" t="str">
        <f aca="false">_xlfn.CONCAT(Atakapa_Parsed_Corpus[[#This Row],[Gloss.2]],"    ",Atakapa_Parsed_Corpus[[#This Row],[Gloss.4]])</f>
        <v>thunder   house strike-3SS-PRET    </v>
      </c>
      <c r="J408" s="0" t="s">
        <v>2294</v>
      </c>
      <c r="K408" s="3" t="s">
        <v>2295</v>
      </c>
    </row>
    <row r="409" customFormat="false" ht="15" hidden="false" customHeight="false" outlineLevel="0" collapsed="false">
      <c r="A409" s="0" t="n">
        <v>516</v>
      </c>
      <c r="B409" s="0" t="s">
        <v>2296</v>
      </c>
      <c r="C409" s="0" t="s">
        <v>2297</v>
      </c>
      <c r="D409" s="0" t="s">
        <v>2298</v>
      </c>
      <c r="E409" s="0" t="s">
        <v>2299</v>
      </c>
      <c r="H409" s="0" t="str">
        <f aca="false">_xlfn.CONCAT(Atakapa_Parsed_Corpus[[#This Row],[Gloss.1]],"    ",Atakapa_Parsed_Corpus[[#This Row],[Gloss.3]])</f>
        <v>tiwhc ø-waŋ-kit    </v>
      </c>
      <c r="I409" s="0" t="str">
        <f aca="false">_xlfn.CONCAT(Atakapa_Parsed_Corpus[[#This Row],[Gloss.2]],"    ",Atakapa_Parsed_Corpus[[#This Row],[Gloss.4]])</f>
        <v>gently 3STATS-go.about-prog(sg)    </v>
      </c>
      <c r="J409" s="0" t="s">
        <v>2300</v>
      </c>
      <c r="K409" s="3" t="s">
        <v>2301</v>
      </c>
    </row>
    <row r="410" customFormat="false" ht="15" hidden="false" customHeight="false" outlineLevel="0" collapsed="false">
      <c r="A410" s="0" t="n">
        <v>517</v>
      </c>
      <c r="B410" s="0" t="s">
        <v>2302</v>
      </c>
      <c r="C410" s="0" t="s">
        <v>2303</v>
      </c>
      <c r="D410" s="0" t="s">
        <v>2304</v>
      </c>
      <c r="E410" s="0" t="s">
        <v>2305</v>
      </c>
      <c r="H410" s="0" t="str">
        <f aca="false">_xlfn.CONCAT(Atakapa_Parsed_Corpus[[#This Row],[Gloss.1]],"    ",Atakapa_Parsed_Corpus[[#This Row],[Gloss.3]])</f>
        <v>tiwhc     ke·t hi-awš    </v>
      </c>
      <c r="I410" s="0" t="str">
        <f aca="false">_xlfn.CONCAT(Atakapa_Parsed_Corpus[[#This Row],[Gloss.2]],"    ",Atakapa_Parsed_Corpus[[#This Row],[Gloss.4]])</f>
        <v>gently    sit  1SSTATS-be.unable    </v>
      </c>
      <c r="J410" s="0" t="s">
        <v>2306</v>
      </c>
      <c r="K410" s="3" t="s">
        <v>2307</v>
      </c>
    </row>
    <row r="411" customFormat="false" ht="15" hidden="false" customHeight="false" outlineLevel="0" collapsed="false">
      <c r="A411" s="0" t="n">
        <v>519</v>
      </c>
      <c r="B411" s="0" t="s">
        <v>2308</v>
      </c>
      <c r="C411" s="0" t="s">
        <v>2309</v>
      </c>
      <c r="D411" s="0" t="s">
        <v>2310</v>
      </c>
      <c r="E411" s="0" t="s">
        <v>2311</v>
      </c>
      <c r="H411" s="0" t="str">
        <f aca="false">_xlfn.CONCAT(Atakapa_Parsed_Corpus[[#This Row],[Gloss.1]],"    ",Atakapa_Parsed_Corpus[[#This Row],[Gloss.3]])</f>
        <v>tolka hat-hu-ø    </v>
      </c>
      <c r="I411" s="0" t="str">
        <f aca="false">_xlfn.CONCAT(Atakapa_Parsed_Corpus[[#This Row],[Gloss.2]],"    ",Atakapa_Parsed_Corpus[[#This Row],[Gloss.4]])</f>
        <v>well REFLEX-see-2SIMP    </v>
      </c>
      <c r="J411" s="0" t="s">
        <v>2312</v>
      </c>
      <c r="K411" s="3" t="s">
        <v>2313</v>
      </c>
    </row>
    <row r="412" customFormat="false" ht="15" hidden="false" customHeight="false" outlineLevel="0" collapsed="false">
      <c r="A412" s="0" t="n">
        <v>520</v>
      </c>
      <c r="B412" s="0" t="s">
        <v>2314</v>
      </c>
      <c r="C412" s="0" t="s">
        <v>2315</v>
      </c>
      <c r="D412" s="0" t="s">
        <v>2316</v>
      </c>
      <c r="E412" s="0" t="s">
        <v>2317</v>
      </c>
      <c r="H412" s="0" t="str">
        <f aca="false">_xlfn.CONCAT(Atakapa_Parsed_Corpus[[#This Row],[Gloss.1]],"    ",Atakapa_Parsed_Corpus[[#This Row],[Gloss.3]])</f>
        <v>tolka hat-hu-waŋ    </v>
      </c>
      <c r="I412" s="0" t="str">
        <f aca="false">_xlfn.CONCAT(Atakapa_Parsed_Corpus[[#This Row],[Gloss.2]],"    ",Atakapa_Parsed_Corpus[[#This Row],[Gloss.4]])</f>
        <v>well REFLEX-see-go.about    </v>
      </c>
      <c r="J412" s="0" t="s">
        <v>2318</v>
      </c>
      <c r="K412" s="3" t="s">
        <v>2319</v>
      </c>
    </row>
    <row r="413" customFormat="false" ht="15" hidden="false" customHeight="false" outlineLevel="0" collapsed="false">
      <c r="A413" s="0" t="n">
        <v>521</v>
      </c>
      <c r="B413" s="0" t="s">
        <v>2320</v>
      </c>
      <c r="C413" s="0" t="s">
        <v>2321</v>
      </c>
      <c r="D413" s="0" t="s">
        <v>2322</v>
      </c>
      <c r="E413" s="0" t="s">
        <v>2323</v>
      </c>
      <c r="H413" s="0" t="str">
        <f aca="false">_xlfn.CONCAT(Atakapa_Parsed_Corpus[[#This Row],[Gloss.1]],"    ",Atakapa_Parsed_Corpus[[#This Row],[Gloss.3]])</f>
        <v>šoke·š    hoktanuk  šak-ka-ø-at    </v>
      </c>
      <c r="I413" s="0" t="str">
        <f aca="false">_xlfn.CONCAT(Atakapa_Parsed_Corpus[[#This Row],[Gloss.2]],"    ",Atakapa_Parsed_Corpus[[#This Row],[Gloss.4]])</f>
        <v>illness   different 3PLO-do-3S-pret    </v>
      </c>
      <c r="J413" s="0" t="s">
        <v>2324</v>
      </c>
      <c r="K413" s="3" t="s">
        <v>2325</v>
      </c>
    </row>
    <row r="414" customFormat="false" ht="15" hidden="false" customHeight="false" outlineLevel="0" collapsed="false">
      <c r="A414" s="0" t="n">
        <v>522</v>
      </c>
      <c r="C414" s="0" t="s">
        <v>2326</v>
      </c>
      <c r="D414" s="0" t="s">
        <v>2327</v>
      </c>
      <c r="E414" s="0" t="s">
        <v>2328</v>
      </c>
      <c r="F414" s="0" t="s">
        <v>2329</v>
      </c>
      <c r="G414" s="0" t="s">
        <v>2330</v>
      </c>
      <c r="H414" s="0" t="str">
        <f aca="false">_xlfn.CONCAT(Atakapa_Parsed_Corpus[[#This Row],[Gloss.1]],"    ",Atakapa_Parsed_Corpus[[#This Row],[Gloss.3]])</f>
        <v>ha   hilay šoke·š=ya ø-kaw-han-at       koyíw hiwéw    ø-ke-at</v>
      </c>
      <c r="I414" s="0" t="str">
        <f aca="false">_xlfn.CONCAT(Atakapa_Parsed_Corpus[[#This Row],[Gloss.2]],"    ",Atakapa_Parsed_Corpus[[#This Row],[Gloss.4]])</f>
        <v>his  wife be.sick=and 3STATS-die(sg)-ALMOST cold strong    3STATS-have-PRET</v>
      </c>
      <c r="J414" s="0" t="s">
        <v>2331</v>
      </c>
      <c r="K414" s="3" t="s">
        <v>2332</v>
      </c>
    </row>
    <row r="415" customFormat="false" ht="15" hidden="false" customHeight="false" outlineLevel="0" collapsed="false">
      <c r="A415" s="0" t="n">
        <v>523</v>
      </c>
      <c r="B415" s="0" t="s">
        <v>2333</v>
      </c>
      <c r="C415" s="0" t="s">
        <v>2334</v>
      </c>
      <c r="D415" s="0" t="s">
        <v>2335</v>
      </c>
      <c r="E415" s="0" t="s">
        <v>2336</v>
      </c>
      <c r="F415" s="0" t="s">
        <v>2337</v>
      </c>
      <c r="G415" s="0" t="s">
        <v>2338</v>
      </c>
      <c r="H415" s="0" t="str">
        <f aca="false">_xlfn.CONCAT(Atakapa_Parsed_Corpus[[#This Row],[Gloss.1]],"    ",Atakapa_Parsed_Corpus[[#This Row],[Gloss.3]])</f>
        <v>tan-hew   tul-kin   pak,šak,pak-iš-at        tan-hew    kawkaw-kin pum-hik-holš-ul-at</v>
      </c>
      <c r="I415" s="0" t="str">
        <f aca="false">_xlfn.CONCAT(Atakapa_Parsed_Corpus[[#This Row],[Gloss.2]],"    ",Atakapa_Parsed_Corpus[[#This Row],[Gloss.4]])</f>
        <v>some-PL   lake-loc  REDUP,3PLOBJ,throw.in-CAUS-PRET some-PL    water-LOC jump-LOC-put.in-3PLS-PRET</v>
      </c>
      <c r="J415" s="0" t="s">
        <v>2339</v>
      </c>
      <c r="K415" s="3" t="s">
        <v>2340</v>
      </c>
    </row>
    <row r="416" customFormat="false" ht="15" hidden="false" customHeight="false" outlineLevel="0" collapsed="false">
      <c r="A416" s="0" t="n">
        <v>524</v>
      </c>
      <c r="B416" s="0" t="s">
        <v>2341</v>
      </c>
      <c r="C416" s="0" t="s">
        <v>2342</v>
      </c>
      <c r="D416" s="0" t="s">
        <v>2343</v>
      </c>
      <c r="E416" s="0" t="s">
        <v>2344</v>
      </c>
      <c r="H416" s="0" t="str">
        <f aca="false">_xlfn.CONCAT(Atakapa_Parsed_Corpus[[#This Row],[Gloss.1]],"    ",Atakapa_Parsed_Corpus[[#This Row],[Gloss.3]])</f>
        <v>okotkawš  iša·k-hew šak-šok-pac-hi-miš-n̥t-o·    </v>
      </c>
      <c r="I416" s="0" t="str">
        <f aca="false">_xlfn.CONCAT(Atakapa_Parsed_Corpus[[#This Row],[Gloss.2]],"    ",Atakapa_Parsed_Corpus[[#This Row],[Gloss.4]])</f>
        <v>shirt     person-PL 3PLO-STH-wash-1SSTATS-give-CONTIN-PHR.TERM    </v>
      </c>
      <c r="J416" s="0" t="s">
        <v>2345</v>
      </c>
      <c r="K416" s="3" t="s">
        <v>2346</v>
      </c>
    </row>
    <row r="417" customFormat="false" ht="15" hidden="false" customHeight="false" outlineLevel="0" collapsed="false">
      <c r="A417" s="0" t="n">
        <v>525</v>
      </c>
      <c r="B417" s="0" t="s">
        <v>2347</v>
      </c>
      <c r="C417" s="0" t="s">
        <v>2348</v>
      </c>
      <c r="D417" s="0" t="s">
        <v>2349</v>
      </c>
      <c r="E417" s="0" t="s">
        <v>2350</v>
      </c>
      <c r="H417" s="0" t="str">
        <f aca="false">_xlfn.CONCAT(Atakapa_Parsed_Corpus[[#This Row],[Gloss.1]],"    ",Atakapa_Parsed_Corpus[[#This Row],[Gloss.3]])</f>
        <v>íti       ilu    </v>
      </c>
      <c r="I417" s="0" t="str">
        <f aca="false">_xlfn.CONCAT(Atakapa_Parsed_Corpus[[#This Row],[Gloss.2]],"    ",Atakapa_Parsed_Corpus[[#This Row],[Gloss.4]])</f>
        <v>in.front  year    </v>
      </c>
      <c r="J417" s="0" t="s">
        <v>2351</v>
      </c>
      <c r="K417" s="3" t="s">
        <v>2352</v>
      </c>
    </row>
    <row r="418" customFormat="false" ht="15" hidden="false" customHeight="false" outlineLevel="0" collapsed="false">
      <c r="A418" s="0" t="n">
        <v>526</v>
      </c>
      <c r="B418" s="0" t="s">
        <v>2353</v>
      </c>
      <c r="C418" s="0" t="s">
        <v>2354</v>
      </c>
      <c r="D418" s="0" t="s">
        <v>2355</v>
      </c>
      <c r="E418" s="0" t="s">
        <v>2356</v>
      </c>
      <c r="H418" s="0" t="str">
        <f aca="false">_xlfn.CONCAT(Atakapa_Parsed_Corpus[[#This Row],[Gloss.1]],"    ",Atakapa_Parsed_Corpus[[#This Row],[Gloss.3]])</f>
        <v>hal       itiyílš    </v>
      </c>
      <c r="I418" s="0" t="str">
        <f aca="false">_xlfn.CONCAT(Atakapa_Parsed_Corpus[[#This Row],[Gloss.2]],"    ",Atakapa_Parsed_Corpus[[#This Row],[Gloss.4]])</f>
        <v>in.back   month    </v>
      </c>
      <c r="J418" s="0" t="s">
        <v>2357</v>
      </c>
      <c r="K418" s="3" t="s">
        <v>2358</v>
      </c>
    </row>
    <row r="419" customFormat="false" ht="15" hidden="false" customHeight="false" outlineLevel="0" collapsed="false">
      <c r="A419" s="0" t="n">
        <v>527</v>
      </c>
      <c r="B419" s="0" t="s">
        <v>2359</v>
      </c>
      <c r="C419" s="0" t="s">
        <v>2360</v>
      </c>
      <c r="D419" s="0" t="s">
        <v>2361</v>
      </c>
      <c r="E419" s="0" t="s">
        <v>2362</v>
      </c>
      <c r="H419" s="0" t="str">
        <f aca="false">_xlfn.CONCAT(Atakapa_Parsed_Corpus[[#This Row],[Gloss.1]],"    ",Atakapa_Parsed_Corpus[[#This Row],[Gloss.3]])</f>
        <v>icáˑt tól ø-ké    </v>
      </c>
      <c r="I419" s="0" t="str">
        <f aca="false">_xlfn.CONCAT(Atakapa_Parsed_Corpus[[#This Row],[Gloss.2]],"    ",Atakapa_Parsed_Corpus[[#This Row],[Gloss.4]])</f>
        <v>head good 3sstats-have    </v>
      </c>
      <c r="J419" s="0" t="s">
        <v>2363</v>
      </c>
      <c r="K419" s="3" t="s">
        <v>2364</v>
      </c>
    </row>
    <row r="420" customFormat="false" ht="15" hidden="false" customHeight="false" outlineLevel="0" collapsed="false">
      <c r="A420" s="0" t="n">
        <v>528</v>
      </c>
      <c r="C420" s="0" t="s">
        <v>2365</v>
      </c>
      <c r="D420" s="0" t="s">
        <v>2366</v>
      </c>
      <c r="E420" s="0" t="s">
        <v>2367</v>
      </c>
      <c r="H420" s="0" t="str">
        <f aca="false">_xlfn.CONCAT(Atakapa_Parsed_Corpus[[#This Row],[Gloss.1]],"    ",Atakapa_Parsed_Corpus[[#This Row],[Gloss.3]])</f>
        <v>áŋlá·k páłi=ya n̥táh-ul-at    </v>
      </c>
      <c r="I420" s="0" t="str">
        <f aca="false">_xlfn.CONCAT(Atakapa_Parsed_Corpus[[#This Row],[Gloss.2]],"    ",Atakapa_Parsed_Corpus[[#This Row],[Gloss.4]])</f>
        <v>jail break=and escape-3PLS-PRET    </v>
      </c>
      <c r="J420" s="0" t="s">
        <v>2368</v>
      </c>
      <c r="K420" s="3" t="s">
        <v>2369</v>
      </c>
    </row>
    <row r="421" customFormat="false" ht="15" hidden="false" customHeight="false" outlineLevel="0" collapsed="false">
      <c r="A421" s="0" t="n">
        <v>532</v>
      </c>
      <c r="B421" s="0" t="s">
        <v>2370</v>
      </c>
      <c r="C421" s="0" t="s">
        <v>2371</v>
      </c>
      <c r="D421" s="0" t="s">
        <v>2372</v>
      </c>
      <c r="E421" s="0" t="s">
        <v>2373</v>
      </c>
      <c r="H421" s="0" t="str">
        <f aca="false">_xlfn.CONCAT(Atakapa_Parsed_Corpus[[#This Row],[Gloss.1]],"    ",Atakapa_Parsed_Corpus[[#This Row],[Gloss.3]])</f>
        <v>wi   šošolš-hi-n̥tehi-han-ul-at    </v>
      </c>
      <c r="I421" s="0" t="str">
        <f aca="false">_xlfn.CONCAT(Atakapa_Parsed_Corpus[[#This Row],[Gloss.2]],"    ",Atakapa_Parsed_Corpus[[#This Row],[Gloss.4]])</f>
        <v>I    scare(sg)-1SOBJ-frighten-ALMOST-3PLS-PRET    </v>
      </c>
      <c r="J421" s="0" t="s">
        <v>2374</v>
      </c>
      <c r="K421" s="3" t="s">
        <v>2375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73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MgEAABQSwMEFAACAAgA9IOlXB8eeSOkAAAA9gAAABIAHABDb25maWcvUGFja2FnZS54bWwgohgAKKAUAAAAAAAAAAAAAAAAAAAAAAAAAAAAhY8xDoIwGIWvQrrTlhKNIaUMrpKYEI1rUyo0wo+hxXI3B4/kFcQo6ub4vvcN792vN56NbRNcdG9NBymKMEWBBtWVBqoUDe4YrlAm+Faqk6x0MMlgk9GWKaqdOyeEeO+xj3HXV4RRGpFDvilUrVuJPrL5L4cGrJOgNBJ8/xojGI4WMWZsiSknM+S5ga/Apr3P9gfy9dC4oddCQ7grOJkjJ+8P4gFQSwMEFAACAAgA9IOlXA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PSDpVwim7fXwgEAAOYDAAATABwARm9ybXVsYXMvU2VjdGlvbjEubSCiGAAooBQAAAAAAAAAAAAAAAAAAAAAAAAAAACFUsFO20AQvUfKP6wWqXKklUVKkkORD2Ao7aGF4vSEK2tjD8Sw3rV2xkAU5d+7sYNNiaP64vGbtzPv7TNCSrnRLGre49PhYDjApbSQsTOST7KUyY20CFkSGltWyAKmgIYD5p7IVDYFh4T47F+YtCpAk/c1V+CHRpP7QI+HX+LfCBbjxwopj99oGEstU6MzmZTWPLr1GIeyRDIa4t7NforPfCTuLkDlRU5gAy64YKFRVaExmAl2qVOT5fohmE2Pj8eC/aoMQUQrBUFX+k7sn5FoHBzxG2sK18rYN5CZk8mdnblcON6us8O9xqxgdzv8TKkolcopDMhW8G5kuJT6wU2cr0roxs2t1HhvbNEI3jbR69kv1mt++SqLUkHysyoWYJ3J75pmE397ZiPYml9JwnQJ9Cl6kdrdmGOQ6zGCV6oJP4ybpZNrS0uz17xSBnEPrfUpuf0L9nq38iU5VyZ9+qez6SxHpcppFwVbrFibUee/pjQM78MdCdZqqlnuXEOfuzXnq3aYx488dT/i75PdxjlqXfnjdpj/uStPunLSlVO+6Q9t/N/UDvvdxtdJ6bn4WlcffnIAnxzApx/CGA5y3e/m9C9QSwECLQAUAAIACAD0g6VcHx55I6QAAAD2AAAAEgAAAAAAAAAAAAAAAAAAAAAAQ29uZmlnL1BhY2thZ2UueG1sUEsBAi0AFAACAAgA9IOlXA/K6aukAAAA6QAAABMAAAAAAAAAAAAAAAAA8AAAAFtDb250ZW50X1R5cGVzXS54bWxQSwECLQAUAAIACAD0g6VcIpu318IBAADmAwAAEwAAAAAAAAAAAAAAAADhAQAARm9ybXVsYXMvU2VjdGlvbjEubVBLBQYAAAAAAwADAMIAAADw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OEQAAAAAAAOwQ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BdGFrYXBhX1BhcnNlZF9Db3JwdXM8L0l0ZW1QYXRoPjwvSXRlbUxvY2F0aW9uPjxTdGFibGVFbnRyaWVzPjxFbnRyeSBUeXBlPSJJc1ByaXZhdGUiIFZhbHVlPSJsMCIgLz48RW50cnkgVHlwZT0iUXVlcnlJRCIgVmFsdWU9InNkNTA3YzAwZS1iYWQyLTRiZGUtYjUxZi1kMDY5NWEyYjUwOWY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0F0YWthcGFfUGFyc2VkX0NvcnB1cyIgLz48RW50cnkgVHlwZT0iRmlsbGVkQ29tcGxldGVSZXN1bHRUb1dvcmtzaGVldCIgVmFsdWU9ImwxIiAvPjxFbnRyeSBUeXBlPSJBZGRlZFRvRGF0YU1vZGVsIiBWYWx1ZT0ibDAiIC8+PEVudHJ5IFR5cGU9IkZpbGxDb3VudCIgVmFsdWU9Imw0MzAiIC8+PEVudHJ5IFR5cGU9IkZpbGxFcnJvckNvZGUiIFZhbHVlPSJzVW5rbm93biIgLz48RW50cnkgVHlwZT0iRmlsbEVycm9yQ291bnQiIFZhbHVlPSJsMCIgLz48RW50cnkgVHlwZT0iRmlsbExhc3RVcGRhdGVkIiBWYWx1ZT0iZDIwMjYtMDUtMDVUMjE6MTk6MjkuNjE0OTI2OFoiIC8+PEVudHJ5IFR5cGU9IkZpbGxDb2x1bW5UeXBlcyIgVmFsdWU9InNBd1lHQmdZR0JnWUdCZz09IiAvPjxFbnRyeSBUeXBlPSJGaWxsQ29sdW1uTmFtZXMiIFZhbHVlPSJzWyZxdW90O0V4YW1wbGVfTnVtYmVyJnF1b3Q7LCZxdW90O0dhdHNjaGV0XHUwMDI2U3dhbnRvbiZxdW90OywmcXVvdDtNb2Rlcm5fT3J0aG8mcXVvdDssJnF1b3Q7R2xvc3MuMSZxdW90OywmcXVvdDtHbG9zcy4yJnF1b3Q7LCZxdW90O0dsb3NzLjMmcXVvdDssJnF1b3Q7R2xvc3MuNCZxdW90OywmcXVvdDtHbG9zcy41JnF1b3Q7LCZxdW90O1RyYW5zbGF0aW9uJnF1b3Q7LCZxdW90O1Jhd19CbG9ja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BdGFrYXBhX1BhcnNlZF9Db3JwdXMvQXV0b1JlbW92ZWRDb2x1bW5zMS57RXhhbXBsZV9OdW1iZXIsMH0mcXVvdDssJnF1b3Q7U2VjdGlvbjEvQXRha2FwYV9QYXJzZWRfQ29ycHVzL0F1dG9SZW1vdmVkQ29sdW1uczEue0dhdHNjaGV0XHUwMDI2U3dhbnRvbiwxfSZxdW90OywmcXVvdDtTZWN0aW9uMS9BdGFrYXBhX1BhcnNlZF9Db3JwdXMvQXV0b1JlbW92ZWRDb2x1bW5zMS57TW9kZXJuX09ydGhvLDJ9JnF1b3Q7LCZxdW90O1NlY3Rpb24xL0F0YWthcGFfUGFyc2VkX0NvcnB1cy9BdXRvUmVtb3ZlZENvbHVtbnMxLntHbG9zcy4xLDN9JnF1b3Q7LCZxdW90O1NlY3Rpb24xL0F0YWthcGFfUGFyc2VkX0NvcnB1cy9BdXRvUmVtb3ZlZENvbHVtbnMxLntHbG9zcy4yLDR9JnF1b3Q7LCZxdW90O1NlY3Rpb24xL0F0YWthcGFfUGFyc2VkX0NvcnB1cy9BdXRvUmVtb3ZlZENvbHVtbnMxLntHbG9zcy4zLDV9JnF1b3Q7LCZxdW90O1NlY3Rpb24xL0F0YWthcGFfUGFyc2VkX0NvcnB1cy9BdXRvUmVtb3ZlZENvbHVtbnMxLntHbG9zcy40LDZ9JnF1b3Q7LCZxdW90O1NlY3Rpb24xL0F0YWthcGFfUGFyc2VkX0NvcnB1cy9BdXRvUmVtb3ZlZENvbHVtbnMxLntHbG9zcy41LDd9JnF1b3Q7LCZxdW90O1NlY3Rpb24xL0F0YWthcGFfUGFyc2VkX0NvcnB1cy9BdXRvUmVtb3ZlZENvbHVtbnMxLntUcmFuc2xhdGlvbiw4fSZxdW90OywmcXVvdDtTZWN0aW9uMS9BdGFrYXBhX1BhcnNlZF9Db3JwdXMvQXV0b1JlbW92ZWRDb2x1bW5zMS57UmF3X0Jsb2NrLDl9JnF1b3Q7XSwmcXVvdDtDb2x1bW5Db3VudCZxdW90OzoxMCwmcXVvdDtLZXlDb2x1bW5OYW1lcyZxdW90OzpbXSwmcXVvdDtDb2x1bW5JZGVudGl0aWVzJnF1b3Q7OlsmcXVvdDtTZWN0aW9uMS9BdGFrYXBhX1BhcnNlZF9Db3JwdXMvQXV0b1JlbW92ZWRDb2x1bW5zMS57RXhhbXBsZV9OdW1iZXIsMH0mcXVvdDssJnF1b3Q7U2VjdGlvbjEvQXRha2FwYV9QYXJzZWRfQ29ycHVzL0F1dG9SZW1vdmVkQ29sdW1uczEue0dhdHNjaGV0XHUwMDI2U3dhbnRvbiwxfSZxdW90OywmcXVvdDtTZWN0aW9uMS9BdGFrYXBhX1BhcnNlZF9Db3JwdXMvQXV0b1JlbW92ZWRDb2x1bW5zMS57TW9kZXJuX09ydGhvLDJ9JnF1b3Q7LCZxdW90O1NlY3Rpb24xL0F0YWthcGFfUGFyc2VkX0NvcnB1cy9BdXRvUmVtb3ZlZENvbHVtbnMxLntHbG9zcy4xLDN9JnF1b3Q7LCZxdW90O1NlY3Rpb24xL0F0YWthcGFfUGFyc2VkX0NvcnB1cy9BdXRvUmVtb3ZlZENvbHVtbnMxLntHbG9zcy4yLDR9JnF1b3Q7LCZxdW90O1NlY3Rpb24xL0F0YWthcGFfUGFyc2VkX0NvcnB1cy9BdXRvUmVtb3ZlZENvbHVtbnMxLntHbG9zcy4zLDV9JnF1b3Q7LCZxdW90O1NlY3Rpb24xL0F0YWthcGFfUGFyc2VkX0NvcnB1cy9BdXRvUmVtb3ZlZENvbHVtbnMxLntHbG9zcy40LDZ9JnF1b3Q7LCZxdW90O1NlY3Rpb24xL0F0YWthcGFfUGFyc2VkX0NvcnB1cy9BdXRvUmVtb3ZlZENvbHVtbnMxLntHbG9zcy41LDd9JnF1b3Q7LCZxdW90O1NlY3Rpb24xL0F0YWthcGFfUGFyc2VkX0NvcnB1cy9BdXRvUmVtb3ZlZENvbHVtbnMxLntUcmFuc2xhdGlvbiw4fSZxdW90OywmcXVvdDtTZWN0aW9uMS9BdGFrYXBhX1BhcnNlZF9Db3JwdXMvQXV0b1JlbW92ZWRDb2x1bW5zMS57UmF3X0Jsb2NrLDl9JnF1b3Q7XSwmcXVvdDtSZWxhdGlvbnNoaXBJbmZvJnF1b3Q7OltdfSIgLz48L1N0YWJsZUVudHJpZXM+PC9JdGVtPjxJdGVtPjxJdGVtTG9jYXRpb24+PEl0ZW1UeXBlPkZvcm11bGE8L0l0ZW1UeXBlPjxJdGVtUGF0aD5TZWN0aW9uMS9BdGFrYXBhX1BhcnNlZF9Db3JwdXMvU291cmNlPC9JdGVtUGF0aD48L0l0ZW1Mb2NhdGlvbj48U3RhYmxlRW50cmllcyAvPjwvSXRlbT48SXRlbT48SXRlbUxvY2F0aW9uPjxJdGVtVHlwZT5Gb3JtdWxhPC9JdGVtVHlwZT48SXRlbVBhdGg+U2VjdGlvbjEvQXRha2FwYV9QYXJzZWRfQ29ycHVzL1Byb21vdGVkJTIwSGVhZGVyczwvSXRlbVBhdGg+PC9JdGVtTG9jYXRpb24+PFN0YWJsZUVudHJpZXMgLz48L0l0ZW0+PEl0ZW0+PEl0ZW1Mb2NhdGlvbj48SXRlbVR5cGU+Rm9ybXVsYTwvSXRlbVR5cGU+PEl0ZW1QYXRoPlNlY3Rpb24xL0F0YWthcGFfUGFyc2VkX0NvcnB1cy9DaGFuZ2VkJTIwVHlwZTwvSXRlbVBhdGg+PC9JdGVtTG9jYXRpb24+PFN0YWJsZUVudHJpZXMgLz48L0l0ZW0+PEl0ZW0+PEl0ZW1Mb2NhdGlvbj48SXRlbVR5cGU+Rm9ybXVsYTwvSXRlbVR5cGU+PEl0ZW1QYXRoPlNlY3Rpb24xL0F0YWthcGFfUGFyc2VkX0NvcnB1cy9TcGxpdCUyMENvbHVtbiUyMGJ5JTIwRGVsaW1pdGVyPC9JdGVtUGF0aD48L0l0ZW1Mb2NhdGlvbj48U3RhYmxlRW50cmllcyAvPjwvSXRlbT48SXRlbT48SXRlbUxvY2F0aW9uPjxJdGVtVHlwZT5Gb3JtdWxhPC9JdGVtVHlwZT48SXRlbVBhdGg+U2VjdGlvbjEvQXRha2FwYV9QYXJzZWRfQ29ycHVzL0NoYW5nZWQlMjBUeXBlMTwvSXRlbVBhdGg+PC9JdGVtTG9jYXRpb24+PFN0YWJsZUVudHJpZXMgLz48L0l0ZW0+PC9JdGVtcz48L0xvY2FsUGFja2FnZU1ldGFkYXRhRmlsZT4WAAAAUEsFBgAAAAAAAAAAAAAAAAAAAAAAACYBAAABAAAA0Iyd3wEV0RGMegDAT8KX6wEAAACusdgmYfRvQpcBWX+XYwhXAAAAAAIAAAAAABBmAAAAAQAAIAAAAKOx6MxQakdMSwHW6FnJV/AUaswFeOtsha1zBvDnjGf7AAAAAA6AAAAAAgAAIAAAAEarZh6p/rhk2vU/zYeCa5BSKZQTSnq/2CDrp19bdGs1UAAAAKY/GdZM3quXaQlmG2S9R4ygJTx7jPpeQ3k8miKqd5UM9RapMguwj0TxkqXA8mjJAMqa9cjsPG0STdb6q0+E+MUXJnMHfmVoMmCf1ohxnTqfQAAAAMxzKjSOot+jW6RnRjP9VufmlMeAOWIUdd9hAbRBoFa7TwT+b521ghMI4/SNc4gBLyOLP7r+nMI+5zvKXklrRDk=</DataMashup>
</file>

<file path=customXml/itemProps1.xml><?xml version="1.0" encoding="utf-8"?>
<ds:datastoreItem xmlns:ds="http://schemas.openxmlformats.org/officeDocument/2006/customXml" ds:itemID="{138F4DC1-40C7-4405-84F8-EB3C08C225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4714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2026-05-05T21:12:36Z</dcterms:created>
  <dc:creator>Justin Southworth</dc:creator>
  <dc:description/>
  <dc:language>en-US</dc:language>
  <cp:lastModifiedBy/>
  <dcterms:modified xsi:type="dcterms:W3CDTF">2026-05-11T20:26:40Z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